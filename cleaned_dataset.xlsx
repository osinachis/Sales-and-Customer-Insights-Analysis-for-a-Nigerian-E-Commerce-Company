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apstone Cleaned Dataset\"/>
    </mc:Choice>
  </mc:AlternateContent>
  <xr:revisionPtr revIDLastSave="0" documentId="13_ncr:1_{983A578D-7CA7-4824-B60A-C0D73A95AF55}" xr6:coauthVersionLast="47" xr6:coauthVersionMax="47" xr10:uidLastSave="{00000000-0000-0000-0000-000000000000}"/>
  <bookViews>
    <workbookView xWindow="-110" yWindow="-110" windowWidth="19420" windowHeight="10300" xr2:uid="{76F19CBC-C365-461A-B382-6D196814B4FE}"/>
  </bookViews>
  <sheets>
    <sheet name="cleaned_data" sheetId="1" r:id="rId1"/>
  </sheets>
  <definedNames>
    <definedName name="_xlnm._FilterDatabase" localSheetId="0" hidden="1">cleaned_data!$A$1:$Y$249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" i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<sst xmlns="http://schemas.openxmlformats.org/spreadsheetml/2006/main" count="2757" uniqueCount="333">
  <si>
    <t>ORD100000</t>
  </si>
  <si>
    <t>CUST007</t>
  </si>
  <si>
    <t>Amina Bello</t>
  </si>
  <si>
    <t>Corporate</t>
  </si>
  <si>
    <t>Enugu</t>
  </si>
  <si>
    <t>PRD008</t>
  </si>
  <si>
    <t>Office Chair</t>
  </si>
  <si>
    <t>Furniture</t>
  </si>
  <si>
    <t>Mobile App</t>
  </si>
  <si>
    <t>Delivered</t>
  </si>
  <si>
    <t>ORD100001</t>
  </si>
  <si>
    <t>CUST004</t>
  </si>
  <si>
    <t>Adaobi Nnaji</t>
  </si>
  <si>
    <t>SME</t>
  </si>
  <si>
    <t>Oyo</t>
  </si>
  <si>
    <t>PRD004</t>
  </si>
  <si>
    <t>Electric Kettle</t>
  </si>
  <si>
    <t>Home Appliances</t>
  </si>
  <si>
    <t>Card</t>
  </si>
  <si>
    <t>ORD100002</t>
  </si>
  <si>
    <t>CUST008</t>
  </si>
  <si>
    <t>PRD006</t>
  </si>
  <si>
    <t>Men Sneakers</t>
  </si>
  <si>
    <t>Fashion</t>
  </si>
  <si>
    <t>Transfer</t>
  </si>
  <si>
    <t>ORD100003</t>
  </si>
  <si>
    <t>CUST005</t>
  </si>
  <si>
    <t>Rivers</t>
  </si>
  <si>
    <t>Marketplace</t>
  </si>
  <si>
    <t>ORD100004</t>
  </si>
  <si>
    <t>Emeka Umeh</t>
  </si>
  <si>
    <t>Kano</t>
  </si>
  <si>
    <t>Website</t>
  </si>
  <si>
    <t>CUST010</t>
  </si>
  <si>
    <t>Tunde Adebayo</t>
  </si>
  <si>
    <t>Abuja</t>
  </si>
  <si>
    <t>Cancelled</t>
  </si>
  <si>
    <t>ORD100006</t>
  </si>
  <si>
    <t>CUST003</t>
  </si>
  <si>
    <t>Ifeoma Eze</t>
  </si>
  <si>
    <t>PRD003</t>
  </si>
  <si>
    <t>Bluetooth Speaker</t>
  </si>
  <si>
    <t>Electronics</t>
  </si>
  <si>
    <t>ORD100007</t>
  </si>
  <si>
    <t>Retail</t>
  </si>
  <si>
    <t>ORD100008</t>
  </si>
  <si>
    <t>Returned</t>
  </si>
  <si>
    <t>ORD100009</t>
  </si>
  <si>
    <t>Chinedu Okafor</t>
  </si>
  <si>
    <t>PRD001</t>
  </si>
  <si>
    <t>Infinix Smart Phone</t>
  </si>
  <si>
    <t>ORD100010</t>
  </si>
  <si>
    <t>Sade Williams</t>
  </si>
  <si>
    <t>Lagos</t>
  </si>
  <si>
    <t>ORD100011</t>
  </si>
  <si>
    <t>Musa Ibrahim</t>
  </si>
  <si>
    <t>PRD005</t>
  </si>
  <si>
    <t>Rice Cooker</t>
  </si>
  <si>
    <t>ORD100013</t>
  </si>
  <si>
    <t>PRD002</t>
  </si>
  <si>
    <t>Tecno Spark Phone</t>
  </si>
  <si>
    <t>ORD100014</t>
  </si>
  <si>
    <t>CUST006</t>
  </si>
  <si>
    <t>ORD100015</t>
  </si>
  <si>
    <t>ORD100016</t>
  </si>
  <si>
    <t>CUST002</t>
  </si>
  <si>
    <t>ORD100017</t>
  </si>
  <si>
    <t>ORD100018</t>
  </si>
  <si>
    <t>ORD100019</t>
  </si>
  <si>
    <t>ORD100020</t>
  </si>
  <si>
    <t>ORD100021</t>
  </si>
  <si>
    <t>CUST001</t>
  </si>
  <si>
    <t>ORD100022</t>
  </si>
  <si>
    <t>ORD100023</t>
  </si>
  <si>
    <t>ORD100024</t>
  </si>
  <si>
    <t>CUST009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</si>
  <si>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</si>
  <si>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</si>
  <si>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</si>
  <si>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</si>
  <si>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</si>
  <si>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</si>
  <si>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</si>
  <si>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</si>
  <si>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</si>
  <si>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</si>
  <si>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PRD007</t>
  </si>
  <si>
    <t>Women Handbag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</si>
  <si>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</si>
  <si>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</si>
  <si>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</si>
  <si>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</si>
  <si>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</si>
  <si>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</si>
  <si>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</si>
  <si>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</si>
  <si>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</si>
  <si>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</si>
  <si>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</si>
  <si>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</si>
  <si>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</si>
  <si>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</si>
  <si>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</si>
  <si>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</si>
  <si>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</si>
  <si>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</si>
  <si>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</si>
  <si>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</si>
  <si>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</si>
  <si>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</si>
  <si>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</si>
  <si>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</si>
  <si>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</si>
  <si>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</si>
  <si>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</si>
  <si>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</si>
  <si>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</si>
  <si>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</si>
  <si>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</si>
  <si>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</si>
  <si>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</si>
  <si>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</si>
  <si>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</si>
  <si>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</si>
  <si>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</si>
  <si>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</si>
  <si>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</si>
  <si>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</si>
  <si>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</si>
  <si>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</si>
  <si>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</si>
  <si>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</si>
  <si>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</si>
  <si>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</si>
  <si>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</si>
  <si>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</si>
  <si>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</si>
  <si>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</si>
  <si>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</si>
  <si>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</si>
  <si>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</si>
  <si>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</si>
  <si>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</si>
  <si>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</si>
  <si>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</si>
  <si>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</si>
  <si>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</si>
  <si>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</si>
  <si>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</si>
  <si>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</si>
  <si>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</si>
  <si>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</si>
  <si>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</si>
  <si>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</si>
  <si>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</si>
  <si>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</si>
  <si>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</si>
  <si>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</si>
  <si>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</si>
  <si>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</si>
  <si>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</si>
  <si>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</si>
  <si>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</si>
  <si>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</si>
  <si>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</si>
  <si>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</si>
  <si>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</si>
  <si>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</si>
  <si>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</si>
  <si>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</si>
  <si>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</si>
  <si>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</si>
  <si>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</si>
  <si>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</si>
  <si>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</si>
  <si>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</si>
  <si>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</si>
  <si>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</si>
  <si>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</si>
  <si>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</si>
  <si>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</si>
  <si>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</si>
  <si>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</si>
  <si>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</si>
  <si>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</si>
  <si>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</si>
  <si>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</si>
  <si>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</si>
  <si>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</si>
  <si>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</si>
  <si>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</si>
  <si>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</si>
  <si>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</si>
  <si>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</si>
  <si>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</si>
  <si>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</si>
  <si>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</si>
  <si>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</si>
  <si>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</si>
  <si>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</si>
  <si>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</si>
  <si>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</si>
  <si>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</si>
  <si>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</si>
  <si>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</si>
  <si>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</si>
  <si>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</si>
  <si>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</si>
  <si>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</si>
  <si>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</si>
  <si>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</si>
  <si>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</si>
  <si>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</si>
  <si>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</si>
  <si>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</si>
  <si>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</si>
  <si>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</si>
  <si>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</si>
  <si>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</si>
  <si>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</si>
  <si>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</si>
  <si>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</si>
  <si>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</si>
  <si>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</si>
  <si>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</si>
  <si>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</si>
  <si>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</si>
  <si>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</si>
  <si>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</si>
  <si>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</si>
  <si>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</si>
  <si>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</si>
  <si>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</si>
  <si>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</si>
  <si>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</si>
  <si>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</si>
  <si>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</si>
  <si>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</si>
  <si>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</si>
  <si>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</si>
  <si>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</si>
  <si>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</si>
  <si>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</si>
  <si>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</si>
  <si>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</si>
  <si>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</si>
  <si>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</si>
  <si>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</si>
  <si>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</si>
  <si>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</si>
  <si>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</si>
  <si>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</si>
  <si>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</si>
  <si>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</si>
  <si>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</si>
  <si>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</si>
  <si>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</si>
  <si>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</si>
  <si>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</si>
  <si>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</si>
  <si>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</si>
  <si>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</si>
  <si>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</si>
  <si>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</si>
  <si>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</si>
  <si>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</si>
  <si>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</si>
  <si>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</si>
  <si>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</si>
  <si>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</si>
  <si>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</si>
  <si>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</si>
  <si>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</si>
  <si>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</si>
  <si>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</si>
  <si>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</si>
  <si>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</si>
  <si>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</si>
  <si>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</si>
  <si>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</si>
  <si>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</si>
  <si>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</si>
  <si>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</si>
  <si>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</si>
  <si>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</si>
  <si>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</si>
  <si>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</si>
  <si>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</si>
  <si>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</si>
  <si>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</si>
  <si>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</si>
  <si>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</si>
  <si>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</si>
  <si>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</si>
  <si>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</si>
  <si>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</si>
  <si>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</si>
  <si>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</si>
  <si>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</si>
  <si>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</si>
  <si>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</si>
  <si>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</si>
  <si>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</si>
  <si>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Cash On Delivery</t>
  </si>
  <si>
    <t>order_id</t>
  </si>
  <si>
    <t>order_date</t>
  </si>
  <si>
    <t>ship_date</t>
  </si>
  <si>
    <t>customer_id</t>
  </si>
  <si>
    <t>customer_name</t>
  </si>
  <si>
    <t>segment</t>
  </si>
  <si>
    <t>city</t>
  </si>
  <si>
    <t>region</t>
  </si>
  <si>
    <t>product_id</t>
  </si>
  <si>
    <t>product_name</t>
  </si>
  <si>
    <t>category</t>
  </si>
  <si>
    <t>sales_channel</t>
  </si>
  <si>
    <t>payment_method</t>
  </si>
  <si>
    <t>order_status</t>
  </si>
  <si>
    <t>quantity</t>
  </si>
  <si>
    <t>unit_price</t>
  </si>
  <si>
    <t>gross_sales</t>
  </si>
  <si>
    <t>discount_pct</t>
  </si>
  <si>
    <t>discount_amount</t>
  </si>
  <si>
    <t>shipping_fee_charged</t>
  </si>
  <si>
    <t>logistics_cost</t>
  </si>
  <si>
    <t>payment_processing_fee</t>
  </si>
  <si>
    <t>net_sales</t>
  </si>
  <si>
    <t>cogs</t>
  </si>
  <si>
    <t>profit</t>
  </si>
  <si>
    <t>order_year</t>
  </si>
  <si>
    <t>order_month</t>
  </si>
  <si>
    <t>order_month_num</t>
  </si>
  <si>
    <t>order_quarter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</si>
</sst>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&quot;$&quot;#,##0.00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66" fontId="2" fillId="0" borderId="2" xfId="0" applyNumberFormat="1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3">
    <dxf>
      <numFmt numFmtId="164" formatCode="yyyy/mm/dd;@"/>
    </dxf>
    <dxf>
      <numFmt numFmtId="164" formatCode="yyyy/mm/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AEDA0-B368-4F26-81EC-DEABADB3A61B}" name="Table1" displayName="Table1" ref="A1:AC249" totalsRowShown="0" headerRowDxfId="2">
  <autoFilter ref="A1:AC249" xr:uid="{80FAEDA0-B368-4F26-81EC-DEABADB3A6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F7C16BC3-0048-43C6-B9AD-B2038ABAB7F8}" name="order_id"/>
    <tableColumn id="2" xr3:uid="{5F52D8BA-71BB-4969-93D8-4692DCD30326}" name="order_date" dataDxfId="1"/>
    <tableColumn id="3" xr3:uid="{9C240240-685E-4F5E-A2D0-D79C61451AB5}" name="ship_date" dataDxfId="0"/>
    <tableColumn id="4" xr3:uid="{E26BAAAA-370C-45F7-B5A4-3CE82D79C3A5}" name="customer_id"/>
    <tableColumn id="5" xr3:uid="{3DBA6D89-8C64-473A-A97D-4156C670AA3A}" name="customer_name"/>
    <tableColumn id="6" xr3:uid="{9D6F8790-BB24-4898-8E1F-BF7949F64337}" name="segment"/>
    <tableColumn id="7" xr3:uid="{3512DCFD-05D4-46CE-92C9-C6734DE38DA4}" name="city"/>
    <tableColumn id="8" xr3:uid="{7C3CF459-33E2-4627-AC3A-EE2CA93E51C8}" name="region">
      <calculatedColumnFormula array="1">_xlfn.IFS(
OR(G2="Abuja",G2="Fct",G2="Abj"),"Abuja Municipal",
G2="Lagos","Ikeja",
G2="Oyo","Ibadan",
G2="Kano","Kano Municipal",
G2="Enugu","Enugu North",
G2="Rivers","Port Harcourt"
)</calculatedColumnFormula>
    </tableColumn>
    <tableColumn id="9" xr3:uid="{2CA61ED3-9BE9-4A18-AEF0-89019FC93CEF}" name="product_id"/>
    <tableColumn id="10" xr3:uid="{1AA6B11F-8FD7-4E3A-BDB1-CF7D2AE1A15B}" name="product_name"/>
    <tableColumn id="11" xr3:uid="{C7E1E657-25DE-45C9-8FE5-F846A94D03D0}" name="category"/>
    <tableColumn id="12" xr3:uid="{E535E21C-50DD-4661-B60A-C97773BE8976}" name="sales_channel"/>
    <tableColumn id="13" xr3:uid="{2F4D456C-8EFE-46F2-B2CA-9A33BCBD6F02}" name="payment_method"/>
    <tableColumn id="14" xr3:uid="{DF2E7EA4-FE6B-47C2-8707-098DE27EA93B}" name="order_status"/>
    <tableColumn id="15" xr3:uid="{3BA311DB-941F-4D3D-B7EF-2B263CE4B7FD}" name="quantity"/>
    <tableColumn id="16" xr3:uid="{56466A90-E68C-4545-A8B5-A90773C77962}" name="unit_price"/>
    <tableColumn id="17" xr3:uid="{F950F205-7CF9-4B59-814C-11B131DD6E11}" name="gross_sales"/>
    <tableColumn id="18" xr3:uid="{B71830E3-3005-4F57-81A3-2C931E886FF0}" name="discount_pct"/>
    <tableColumn id="19" xr3:uid="{C082E08F-BBFB-481D-B4EE-1454D4C9F9D1}" name="discount_amount"/>
    <tableColumn id="20" xr3:uid="{462CCAB1-0820-4A1F-A9DF-A138AED42E4C}" name="shipping_fee_charged"/>
    <tableColumn id="21" xr3:uid="{7F282A90-8E15-48E6-8196-653F1A5EF85C}" name="logistics_cost"/>
    <tableColumn id="22" xr3:uid="{83952671-D0A4-4225-BA9A-8C12FDEDA4C5}" name="payment_processing_fee"/>
    <tableColumn id="23" xr3:uid="{9343B5FE-C7EB-44BF-BD57-B41F9555C493}" name="net_sales"/>
    <tableColumn id="24" xr3:uid="{FFC330B2-A6B8-48C9-BBBC-E8650C90D2E0}" name="cogs"/>
    <tableColumn id="25" xr3:uid="{F6EB69F7-B46D-41F5-B5E1-9F9739E1CF41}" name="profit"/>
    <tableColumn id="26" xr3:uid="{88C76D59-83E0-4A98-96ED-63FCDA881484}" name="order_year">
      <calculatedColumnFormula>YEAR(B2)</calculatedColumnFormula>
    </tableColumn>
    <tableColumn id="27" xr3:uid="{D39A9743-927A-49DE-8CBC-69E6DE0743B2}" name="order_month">
      <calculatedColumnFormula>TEXT(B2,"mmmm")</calculatedColumnFormula>
    </tableColumn>
    <tableColumn id="28" xr3:uid="{FA4D75DD-8FB0-4A0E-B440-4FD3921A413D}" name="order_month_num">
      <calculatedColumnFormula>MONTH(B2)</calculatedColumnFormula>
    </tableColumn>
    <tableColumn id="29" xr3:uid="{DECC0043-B30C-4BCB-971A-57ECEF1734C0}" name="order_quarter">
      <calculatedColumnFormula>"Q"&amp;ROUNDUP(MONTH(B2)/3,0)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EA16-5FAE-4397-B2F9-86BCB5C74638}">
  <dimension ref="A1:AC249"/>
  <sheetViews>
    <sheetView tabSelected="1" workbookViewId="0">
      <selection activeCell="AC1" sqref="AC1"/>
    </sheetView>
  </sheetViews>
  <sheetFormatPr defaultRowHeight="14.5" x14ac:dyDescent="0.35"/>
  <cols>
    <col min="1" max="1" width="10.54296875" bestFit="1" customWidth="1"/>
    <col min="2" max="3" width="17.81640625" style="3" bestFit="1" customWidth="1"/>
    <col min="4" max="4" width="13.26953125" customWidth="1"/>
    <col min="5" max="5" width="16.453125" customWidth="1"/>
    <col min="6" max="6" width="10" customWidth="1"/>
    <col min="8" max="8" width="14.36328125" bestFit="1" customWidth="1"/>
    <col min="9" max="9" width="12" customWidth="1"/>
    <col min="10" max="10" width="17.26953125" bestFit="1" customWidth="1"/>
    <col min="11" max="11" width="15.36328125" bestFit="1" customWidth="1"/>
    <col min="12" max="12" width="14.453125" customWidth="1"/>
    <col min="13" max="13" width="17.90625" customWidth="1"/>
    <col min="14" max="14" width="13.6328125" customWidth="1"/>
    <col min="15" max="15" width="9.90625" customWidth="1"/>
    <col min="16" max="16" width="11.26953125" customWidth="1"/>
    <col min="17" max="17" width="12.26953125" customWidth="1"/>
    <col min="18" max="18" width="13.6328125" customWidth="1"/>
    <col min="19" max="19" width="17.6328125" customWidth="1"/>
    <col min="20" max="20" width="21.08984375" customWidth="1"/>
    <col min="21" max="21" width="13.81640625" customWidth="1"/>
    <col min="22" max="22" width="23.7265625" customWidth="1"/>
    <col min="23" max="23" width="10.7265625" customWidth="1"/>
    <col min="26" max="26" width="12.08984375" customWidth="1"/>
    <col min="27" max="27" width="14.08984375" customWidth="1"/>
    <col min="28" max="28" width="18.90625" customWidth="1"/>
    <col min="29" max="29" width="14.81640625" customWidth="1"/>
  </cols>
  <sheetData>
    <row r="1" spans="1:29" x14ac:dyDescent="0.35">
      <c r="A1" s="1" t="s">
        <v>304</v>
      </c>
      <c r="B1" s="2" t="s">
        <v>305</v>
      </c>
      <c r="C1" s="2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4" t="s">
        <v>318</v>
      </c>
      <c r="P1" s="5" t="s">
        <v>319</v>
      </c>
      <c r="Q1" s="5" t="s">
        <v>320</v>
      </c>
      <c r="R1" s="6" t="s">
        <v>321</v>
      </c>
      <c r="S1" s="5" t="s">
        <v>322</v>
      </c>
      <c r="T1" s="5" t="s">
        <v>323</v>
      </c>
      <c r="U1" s="5" t="s">
        <v>324</v>
      </c>
      <c r="V1" s="5" t="s">
        <v>325</v>
      </c>
      <c r="W1" s="5" t="s">
        <v>326</v>
      </c>
      <c r="X1" s="5" t="s">
        <v>327</v>
      </c>
      <c r="Y1" s="5" t="s">
        <v>328</v>
      </c>
      <c r="Z1" s="7" t="s">
        <v>329</v>
      </c>
      <c r="AA1" s="8" t="s">
        <v>330</v>
      </c>
      <c r="AB1" s="8" t="s">
        <v>331</v>
      </c>
      <c r="AC1" s="8" t="s">
        <v>332</v>
      </c>
    </row>
    <row r="2" spans="1:29" x14ac:dyDescent="0.35">
      <c r="A2" t="s">
        <v>0</v>
      </c>
      <c r="B2" s="3">
        <v>45830</v>
      </c>
      <c r="C2" s="3">
        <v>45835</v>
      </c>
      <c r="D2" t="s">
        <v>1</v>
      </c>
      <c r="E2" t="s">
        <v>2</v>
      </c>
      <c r="F2" t="s">
        <v>3</v>
      </c>
      <c r="G2" t="s">
        <v>4</v>
      </c>
      <c r="H2" t="str" cm="1">
        <f t="array" ref="H2">_xlfn.IFS(
OR(G2="Abuja",G2="Fct",G2="Abj"),"Abuja Municipal",
G2="Lagos","Ikeja",
G2="Oyo","Ibadan",
G2="Kano","Kano Municipal",
G2="Enugu","Enugu North",
G2="Rivers","Port Harcourt"
)</f>
        <v>Enugu North</v>
      </c>
      <c r="I2" t="s">
        <v>5</v>
      </c>
      <c r="J2" t="s">
        <v>6</v>
      </c>
      <c r="K2" t="s">
        <v>7</v>
      </c>
      <c r="L2" t="s">
        <v>8</v>
      </c>
      <c r="M2" t="s">
        <v>18</v>
      </c>
      <c r="N2" t="s">
        <v>9</v>
      </c>
      <c r="O2">
        <v>4</v>
      </c>
      <c r="P2">
        <v>120000</v>
      </c>
      <c r="Q2">
        <v>480000</v>
      </c>
      <c r="R2">
        <v>0</v>
      </c>
      <c r="S2">
        <v>0</v>
      </c>
      <c r="T2">
        <v>3500</v>
      </c>
      <c r="U2">
        <v>3200</v>
      </c>
      <c r="V2">
        <v>7200</v>
      </c>
      <c r="W2">
        <v>480000</v>
      </c>
      <c r="X2">
        <v>312000</v>
      </c>
      <c r="Y2">
        <v>161100</v>
      </c>
      <c r="Z2">
        <f>YEAR(B2)</f>
        <v>2025</v>
      </c>
      <c r="AA2" t="str">
        <f>TEXT(B2,"mmmm")</f>
        <v>June</v>
      </c>
      <c r="AB2">
        <f>MONTH(B2)</f>
        <v>6</v>
      </c>
      <c r="AC2" t="str">
        <f>"Q"&amp;ROUNDUP(MONTH(B2)/3,0)</f>
        <v>Q2</v>
      </c>
    </row>
    <row r="3" spans="1:29" x14ac:dyDescent="0.35">
      <c r="A3" t="s">
        <v>10</v>
      </c>
      <c r="B3" s="3">
        <v>45847</v>
      </c>
      <c r="C3" s="3">
        <v>45852</v>
      </c>
      <c r="D3" t="s">
        <v>11</v>
      </c>
      <c r="E3" t="s">
        <v>12</v>
      </c>
      <c r="F3" t="s">
        <v>13</v>
      </c>
      <c r="G3" t="s">
        <v>14</v>
      </c>
      <c r="H3" t="str" cm="1">
        <f t="array" ref="H3">_xlfn.IFS(
OR(G3="Abuja",G3="Fct",G3="Abj"),"Abuja Municipal",
G3="Lagos","Ikeja",
G3="Oyo","Ibadan",
G3="Kano","Kano Municipal",
G3="Enugu","Enugu North",
G3="Rivers","Port Harcourt"
)</f>
        <v>Ibadan</v>
      </c>
      <c r="I3" t="s">
        <v>15</v>
      </c>
      <c r="J3" t="s">
        <v>16</v>
      </c>
      <c r="K3" t="s">
        <v>17</v>
      </c>
      <c r="L3" t="s">
        <v>8</v>
      </c>
      <c r="M3" t="s">
        <v>18</v>
      </c>
      <c r="N3" t="s">
        <v>9</v>
      </c>
      <c r="O3">
        <v>1</v>
      </c>
      <c r="P3">
        <v>25500</v>
      </c>
      <c r="Q3">
        <v>25500</v>
      </c>
      <c r="R3">
        <v>0.1</v>
      </c>
      <c r="S3">
        <v>2550</v>
      </c>
      <c r="T3">
        <v>2500</v>
      </c>
      <c r="U3">
        <v>1500</v>
      </c>
      <c r="V3">
        <v>382.5</v>
      </c>
      <c r="W3">
        <v>22950</v>
      </c>
      <c r="X3">
        <v>16065</v>
      </c>
      <c r="Y3">
        <v>7502.5</v>
      </c>
      <c r="Z3">
        <f t="shared" ref="Z3:Z66" si="0">YEAR(B3)</f>
        <v>2025</v>
      </c>
      <c r="AA3" t="str">
        <f t="shared" ref="AA3:AA66" si="1">TEXT(B3,"mmmm")</f>
        <v>July</v>
      </c>
      <c r="AB3">
        <f t="shared" ref="AB3:AB66" si="2">MONTH(B3)</f>
        <v>7</v>
      </c>
      <c r="AC3" t="str">
        <f t="shared" ref="AC3:AC66" si="3">"Q"&amp;ROUNDUP(MONTH(B3)/3,0)</f>
        <v>Q3</v>
      </c>
    </row>
    <row r="4" spans="1:29" x14ac:dyDescent="0.35">
      <c r="A4" t="s">
        <v>19</v>
      </c>
      <c r="B4" s="3">
        <v>45779</v>
      </c>
      <c r="C4" s="3">
        <v>45780</v>
      </c>
      <c r="D4" t="s">
        <v>20</v>
      </c>
      <c r="E4" t="s">
        <v>2</v>
      </c>
      <c r="F4" t="s">
        <v>13</v>
      </c>
      <c r="G4" t="s">
        <v>53</v>
      </c>
      <c r="H4" t="str" cm="1">
        <f t="array" ref="H4">_xlfn.IFS(
OR(G4="Abuja",G4="Fct",G4="Abj"),"Abuja Municipal",
G4="Lagos","Ikeja",
G4="Oyo","Ibadan",
G4="Kano","Kano Municipal",
G4="Enugu","Enugu North",
G4="Rivers","Port Harcourt"
)</f>
        <v>Ikeja</v>
      </c>
      <c r="I4" t="s">
        <v>21</v>
      </c>
      <c r="J4" t="s">
        <v>22</v>
      </c>
      <c r="K4" t="s">
        <v>23</v>
      </c>
      <c r="L4" t="s">
        <v>8</v>
      </c>
      <c r="M4" t="s">
        <v>24</v>
      </c>
      <c r="N4" t="s">
        <v>9</v>
      </c>
      <c r="O4">
        <v>2</v>
      </c>
      <c r="P4">
        <v>25500</v>
      </c>
      <c r="Q4">
        <v>51000</v>
      </c>
      <c r="R4">
        <v>0</v>
      </c>
      <c r="S4">
        <v>0</v>
      </c>
      <c r="T4">
        <v>2500</v>
      </c>
      <c r="U4">
        <v>1000</v>
      </c>
      <c r="V4">
        <v>765</v>
      </c>
      <c r="W4">
        <v>51000</v>
      </c>
      <c r="X4">
        <v>35700</v>
      </c>
      <c r="Y4">
        <v>16035</v>
      </c>
      <c r="Z4">
        <f t="shared" si="0"/>
        <v>2025</v>
      </c>
      <c r="AA4" t="str">
        <f t="shared" si="1"/>
        <v>May</v>
      </c>
      <c r="AB4">
        <f t="shared" si="2"/>
        <v>5</v>
      </c>
      <c r="AC4" t="str">
        <f t="shared" si="3"/>
        <v>Q2</v>
      </c>
    </row>
    <row r="5" spans="1:29" x14ac:dyDescent="0.35">
      <c r="A5" t="s">
        <v>25</v>
      </c>
      <c r="B5" s="3">
        <v>45703</v>
      </c>
      <c r="C5" s="3">
        <v>45705</v>
      </c>
      <c r="D5" t="s">
        <v>26</v>
      </c>
      <c r="E5" t="s">
        <v>12</v>
      </c>
      <c r="F5" t="s">
        <v>3</v>
      </c>
      <c r="G5" t="s">
        <v>27</v>
      </c>
      <c r="H5" t="str" cm="1">
        <f t="array" ref="H5">_xlfn.IFS(
OR(G5="Abuja",G5="Fct",G5="Abj"),"Abuja Municipal",
G5="Lagos","Ikeja",
G5="Oyo","Ibadan",
G5="Kano","Kano Municipal",
G5="Enugu","Enugu North",
G5="Rivers","Port Harcourt"
)</f>
        <v>Port Harcourt</v>
      </c>
      <c r="I5" t="s">
        <v>5</v>
      </c>
      <c r="J5" t="s">
        <v>6</v>
      </c>
      <c r="K5" t="s">
        <v>7</v>
      </c>
      <c r="L5" t="s">
        <v>28</v>
      </c>
      <c r="M5" t="s">
        <v>18</v>
      </c>
      <c r="N5" t="s">
        <v>9</v>
      </c>
      <c r="O5">
        <v>2</v>
      </c>
      <c r="P5">
        <v>78000</v>
      </c>
      <c r="Q5">
        <v>156000</v>
      </c>
      <c r="R5">
        <v>0.15</v>
      </c>
      <c r="S5">
        <v>23400</v>
      </c>
      <c r="T5">
        <v>1500</v>
      </c>
      <c r="U5">
        <v>2800</v>
      </c>
      <c r="V5">
        <v>2340</v>
      </c>
      <c r="W5">
        <v>132600</v>
      </c>
      <c r="X5">
        <v>92820</v>
      </c>
      <c r="Y5">
        <v>36140</v>
      </c>
      <c r="Z5">
        <f t="shared" si="0"/>
        <v>2025</v>
      </c>
      <c r="AA5" t="str">
        <f t="shared" si="1"/>
        <v>February</v>
      </c>
      <c r="AB5">
        <f t="shared" si="2"/>
        <v>2</v>
      </c>
      <c r="AC5" t="str">
        <f t="shared" si="3"/>
        <v>Q1</v>
      </c>
    </row>
    <row r="6" spans="1:29" x14ac:dyDescent="0.35">
      <c r="A6" t="s">
        <v>29</v>
      </c>
      <c r="B6" s="3">
        <v>45721</v>
      </c>
      <c r="C6" s="3">
        <v>45726</v>
      </c>
      <c r="D6" t="s">
        <v>1</v>
      </c>
      <c r="E6" t="s">
        <v>30</v>
      </c>
      <c r="F6" t="s">
        <v>3</v>
      </c>
      <c r="G6" t="s">
        <v>31</v>
      </c>
      <c r="H6" t="str" cm="1">
        <f t="array" ref="H6">_xlfn.IFS(
OR(G6="Abuja",G6="Fct",G6="Abj"),"Abuja Municipal",
G6="Lagos","Ikeja",
G6="Oyo","Ibadan",
G6="Kano","Kano Municipal",
G6="Enugu","Enugu North",
G6="Rivers","Port Harcourt"
)</f>
        <v>Kano Municipal</v>
      </c>
      <c r="I6" t="s">
        <v>15</v>
      </c>
      <c r="J6" t="s">
        <v>16</v>
      </c>
      <c r="K6" t="s">
        <v>17</v>
      </c>
      <c r="L6" t="s">
        <v>32</v>
      </c>
      <c r="M6" t="s">
        <v>18</v>
      </c>
      <c r="N6" t="s">
        <v>9</v>
      </c>
      <c r="O6">
        <v>4</v>
      </c>
      <c r="P6">
        <v>18500</v>
      </c>
      <c r="Q6">
        <v>74000</v>
      </c>
      <c r="R6">
        <v>0.2</v>
      </c>
      <c r="S6">
        <v>14800</v>
      </c>
      <c r="T6">
        <v>3500</v>
      </c>
      <c r="U6">
        <v>3200</v>
      </c>
      <c r="V6">
        <v>1110</v>
      </c>
      <c r="W6">
        <v>59200</v>
      </c>
      <c r="X6">
        <v>38480</v>
      </c>
      <c r="Y6">
        <v>19910</v>
      </c>
      <c r="Z6">
        <f t="shared" si="0"/>
        <v>2025</v>
      </c>
      <c r="AA6" t="str">
        <f t="shared" si="1"/>
        <v>March</v>
      </c>
      <c r="AB6">
        <f t="shared" si="2"/>
        <v>3</v>
      </c>
      <c r="AC6" t="str">
        <f t="shared" si="3"/>
        <v>Q1</v>
      </c>
    </row>
    <row r="7" spans="1:29" x14ac:dyDescent="0.35">
      <c r="A7" t="s">
        <v>37</v>
      </c>
      <c r="B7" s="3">
        <v>45967</v>
      </c>
      <c r="C7" s="3">
        <v>45972</v>
      </c>
      <c r="D7" t="s">
        <v>38</v>
      </c>
      <c r="E7" t="s">
        <v>39</v>
      </c>
      <c r="F7" t="s">
        <v>3</v>
      </c>
      <c r="G7" t="s">
        <v>35</v>
      </c>
      <c r="H7" t="str" cm="1">
        <f t="array" ref="H7">_xlfn.IFS(
OR(G7="Abuja",G7="Fct",G7="Abj"),"Abuja Municipal",
G7="Lagos","Ikeja",
G7="Oyo","Ibadan",
G7="Kano","Kano Municipal",
G7="Enugu","Enugu North",
G7="Rivers","Port Harcourt"
)</f>
        <v>Abuja Municipal</v>
      </c>
      <c r="I7" t="s">
        <v>40</v>
      </c>
      <c r="J7" t="s">
        <v>41</v>
      </c>
      <c r="K7" t="s">
        <v>42</v>
      </c>
      <c r="L7" t="s">
        <v>8</v>
      </c>
      <c r="M7" t="s">
        <v>18</v>
      </c>
      <c r="N7" t="s">
        <v>9</v>
      </c>
      <c r="O7">
        <v>2</v>
      </c>
      <c r="P7">
        <v>32000</v>
      </c>
      <c r="Q7">
        <v>64000</v>
      </c>
      <c r="R7">
        <v>0.15</v>
      </c>
      <c r="S7">
        <v>9600</v>
      </c>
      <c r="T7">
        <v>3500</v>
      </c>
      <c r="U7">
        <v>1000</v>
      </c>
      <c r="V7">
        <v>960</v>
      </c>
      <c r="W7">
        <v>54400</v>
      </c>
      <c r="X7">
        <v>32640</v>
      </c>
      <c r="Y7">
        <v>23300</v>
      </c>
      <c r="Z7">
        <f t="shared" si="0"/>
        <v>2025</v>
      </c>
      <c r="AA7" t="str">
        <f t="shared" si="1"/>
        <v>November</v>
      </c>
      <c r="AB7">
        <f t="shared" si="2"/>
        <v>11</v>
      </c>
      <c r="AC7" t="str">
        <f t="shared" si="3"/>
        <v>Q4</v>
      </c>
    </row>
    <row r="8" spans="1:29" x14ac:dyDescent="0.35">
      <c r="A8" t="s">
        <v>43</v>
      </c>
      <c r="B8" s="3">
        <v>46020</v>
      </c>
      <c r="C8" s="3">
        <v>46023</v>
      </c>
      <c r="D8" t="s">
        <v>1</v>
      </c>
      <c r="E8" t="s">
        <v>39</v>
      </c>
      <c r="F8" t="s">
        <v>44</v>
      </c>
      <c r="G8" t="s">
        <v>27</v>
      </c>
      <c r="H8" t="str" cm="1">
        <f t="array" ref="H8">_xlfn.IFS(
OR(G8="Abuja",G8="Fct",G8="Abj"),"Abuja Municipal",
G8="Lagos","Ikeja",
G8="Oyo","Ibadan",
G8="Kano","Kano Municipal",
G8="Enugu","Enugu North",
G8="Rivers","Port Harcourt"
)</f>
        <v>Port Harcourt</v>
      </c>
      <c r="I8" t="s">
        <v>5</v>
      </c>
      <c r="J8" t="s">
        <v>6</v>
      </c>
      <c r="K8" t="s">
        <v>7</v>
      </c>
      <c r="L8" t="s">
        <v>32</v>
      </c>
      <c r="M8" t="s">
        <v>18</v>
      </c>
      <c r="N8" t="s">
        <v>9</v>
      </c>
      <c r="O8">
        <v>1</v>
      </c>
      <c r="P8">
        <v>78000</v>
      </c>
      <c r="Q8">
        <v>78000</v>
      </c>
      <c r="R8">
        <v>0.05</v>
      </c>
      <c r="S8">
        <v>3900</v>
      </c>
      <c r="T8">
        <v>2000</v>
      </c>
      <c r="U8">
        <v>2800</v>
      </c>
      <c r="V8">
        <v>1170</v>
      </c>
      <c r="W8">
        <v>74100</v>
      </c>
      <c r="X8">
        <v>40755</v>
      </c>
      <c r="Y8">
        <v>31375</v>
      </c>
      <c r="Z8">
        <f t="shared" si="0"/>
        <v>2025</v>
      </c>
      <c r="AA8" t="str">
        <f t="shared" si="1"/>
        <v>December</v>
      </c>
      <c r="AB8">
        <f t="shared" si="2"/>
        <v>12</v>
      </c>
      <c r="AC8" t="str">
        <f t="shared" si="3"/>
        <v>Q4</v>
      </c>
    </row>
    <row r="9" spans="1:29" x14ac:dyDescent="0.35">
      <c r="A9" t="s">
        <v>45</v>
      </c>
      <c r="B9" s="3">
        <v>45850</v>
      </c>
      <c r="C9" s="3">
        <v>45852</v>
      </c>
      <c r="D9" t="s">
        <v>20</v>
      </c>
      <c r="E9" t="s">
        <v>2</v>
      </c>
      <c r="F9" t="s">
        <v>44</v>
      </c>
      <c r="G9" t="s">
        <v>14</v>
      </c>
      <c r="H9" t="str" cm="1">
        <f t="array" ref="H9">_xlfn.IFS(
OR(G9="Abuja",G9="Fct",G9="Abj"),"Abuja Municipal",
G9="Lagos","Ikeja",
G9="Oyo","Ibadan",
G9="Kano","Kano Municipal",
G9="Enugu","Enugu North",
G9="Rivers","Port Harcourt"
)</f>
        <v>Ibadan</v>
      </c>
      <c r="I9" t="s">
        <v>21</v>
      </c>
      <c r="J9" t="s">
        <v>22</v>
      </c>
      <c r="K9" t="s">
        <v>23</v>
      </c>
      <c r="L9" t="s">
        <v>32</v>
      </c>
      <c r="M9" t="s">
        <v>24</v>
      </c>
      <c r="N9" t="s">
        <v>46</v>
      </c>
      <c r="O9">
        <v>1</v>
      </c>
      <c r="P9">
        <v>32000</v>
      </c>
      <c r="Q9">
        <v>32000</v>
      </c>
      <c r="R9">
        <v>0.15</v>
      </c>
      <c r="S9">
        <v>4800</v>
      </c>
      <c r="T9">
        <v>3000</v>
      </c>
      <c r="U9">
        <v>2200</v>
      </c>
      <c r="V9">
        <v>480</v>
      </c>
      <c r="W9">
        <v>27200</v>
      </c>
      <c r="X9">
        <v>19040</v>
      </c>
      <c r="Y9">
        <v>8480</v>
      </c>
      <c r="Z9">
        <f t="shared" si="0"/>
        <v>2025</v>
      </c>
      <c r="AA9" t="str">
        <f t="shared" si="1"/>
        <v>July</v>
      </c>
      <c r="AB9">
        <f t="shared" si="2"/>
        <v>7</v>
      </c>
      <c r="AC9" t="str">
        <f t="shared" si="3"/>
        <v>Q3</v>
      </c>
    </row>
    <row r="10" spans="1:29" x14ac:dyDescent="0.35">
      <c r="A10" t="s">
        <v>47</v>
      </c>
      <c r="B10" s="3">
        <v>45964</v>
      </c>
      <c r="C10" s="3">
        <v>45967</v>
      </c>
      <c r="D10" t="s">
        <v>26</v>
      </c>
      <c r="E10" t="s">
        <v>48</v>
      </c>
      <c r="F10" t="s">
        <v>13</v>
      </c>
      <c r="G10" t="s">
        <v>4</v>
      </c>
      <c r="H10" t="str" cm="1">
        <f t="array" ref="H10">_xlfn.IFS(
OR(G10="Abuja",G10="Fct",G10="Abj"),"Abuja Municipal",
G10="Lagos","Ikeja",
G10="Oyo","Ibadan",
G10="Kano","Kano Municipal",
G10="Enugu","Enugu North",
G10="Rivers","Port Harcourt"
)</f>
        <v>Enugu North</v>
      </c>
      <c r="I10" t="s">
        <v>49</v>
      </c>
      <c r="J10" t="s">
        <v>50</v>
      </c>
      <c r="K10" t="s">
        <v>42</v>
      </c>
      <c r="L10" t="s">
        <v>32</v>
      </c>
      <c r="M10" t="s">
        <v>24</v>
      </c>
      <c r="N10" t="s">
        <v>9</v>
      </c>
      <c r="O10">
        <v>1</v>
      </c>
      <c r="P10">
        <v>18500</v>
      </c>
      <c r="Q10">
        <v>18500</v>
      </c>
      <c r="R10">
        <v>0.2</v>
      </c>
      <c r="S10">
        <v>3700</v>
      </c>
      <c r="T10">
        <v>2500</v>
      </c>
      <c r="U10">
        <v>1800</v>
      </c>
      <c r="V10">
        <v>277.5</v>
      </c>
      <c r="W10">
        <v>14800</v>
      </c>
      <c r="X10">
        <v>10360</v>
      </c>
      <c r="Y10">
        <v>4862.5</v>
      </c>
      <c r="Z10">
        <f t="shared" si="0"/>
        <v>2025</v>
      </c>
      <c r="AA10" t="str">
        <f t="shared" si="1"/>
        <v>November</v>
      </c>
      <c r="AB10">
        <f t="shared" si="2"/>
        <v>11</v>
      </c>
      <c r="AC10" t="str">
        <f t="shared" si="3"/>
        <v>Q4</v>
      </c>
    </row>
    <row r="11" spans="1:29" x14ac:dyDescent="0.35">
      <c r="A11" t="s">
        <v>51</v>
      </c>
      <c r="B11" s="3">
        <v>45838</v>
      </c>
      <c r="C11" s="3">
        <v>45840</v>
      </c>
      <c r="D11" t="s">
        <v>11</v>
      </c>
      <c r="E11" t="s">
        <v>52</v>
      </c>
      <c r="F11" t="s">
        <v>44</v>
      </c>
      <c r="G11" t="s">
        <v>53</v>
      </c>
      <c r="H11" t="str" cm="1">
        <f t="array" ref="H11">_xlfn.IFS(
OR(G11="Abuja",G11="Fct",G11="Abj"),"Abuja Municipal",
G11="Lagos","Ikeja",
G11="Oyo","Ibadan",
G11="Kano","Kano Municipal",
G11="Enugu","Enugu North",
G11="Rivers","Port Harcourt"
)</f>
        <v>Ikeja</v>
      </c>
      <c r="I11" t="s">
        <v>40</v>
      </c>
      <c r="J11" t="s">
        <v>41</v>
      </c>
      <c r="K11" t="s">
        <v>42</v>
      </c>
      <c r="L11" t="s">
        <v>8</v>
      </c>
      <c r="M11" t="s">
        <v>18</v>
      </c>
      <c r="N11" t="s">
        <v>9</v>
      </c>
      <c r="O11">
        <v>5</v>
      </c>
      <c r="P11">
        <v>15000</v>
      </c>
      <c r="Q11">
        <v>75000</v>
      </c>
      <c r="R11">
        <v>0.15</v>
      </c>
      <c r="S11">
        <v>11250</v>
      </c>
      <c r="T11">
        <v>3000</v>
      </c>
      <c r="U11">
        <v>2200</v>
      </c>
      <c r="V11">
        <v>1125</v>
      </c>
      <c r="W11">
        <v>63750</v>
      </c>
      <c r="X11">
        <v>35062.5</v>
      </c>
      <c r="Y11">
        <v>28362.5</v>
      </c>
      <c r="Z11">
        <f t="shared" si="0"/>
        <v>2025</v>
      </c>
      <c r="AA11" t="str">
        <f t="shared" si="1"/>
        <v>June</v>
      </c>
      <c r="AB11">
        <f t="shared" si="2"/>
        <v>6</v>
      </c>
      <c r="AC11" t="str">
        <f t="shared" si="3"/>
        <v>Q2</v>
      </c>
    </row>
    <row r="12" spans="1:29" x14ac:dyDescent="0.35">
      <c r="A12" t="s">
        <v>54</v>
      </c>
      <c r="B12" s="3">
        <v>45949</v>
      </c>
      <c r="C12" s="3">
        <v>45952</v>
      </c>
      <c r="D12" t="s">
        <v>20</v>
      </c>
      <c r="E12" t="s">
        <v>55</v>
      </c>
      <c r="F12" t="s">
        <v>13</v>
      </c>
      <c r="G12" t="s">
        <v>14</v>
      </c>
      <c r="H12" t="str" cm="1">
        <f t="array" ref="H12">_xlfn.IFS(
OR(G12="Abuja",G12="Fct",G12="Abj"),"Abuja Municipal",
G12="Lagos","Ikeja",
G12="Oyo","Ibadan",
G12="Kano","Kano Municipal",
G12="Enugu","Enugu North",
G12="Rivers","Port Harcourt"
)</f>
        <v>Ibadan</v>
      </c>
      <c r="I12" t="s">
        <v>49</v>
      </c>
      <c r="J12" t="s">
        <v>50</v>
      </c>
      <c r="K12" t="s">
        <v>42</v>
      </c>
      <c r="L12" t="s">
        <v>8</v>
      </c>
      <c r="M12" t="s">
        <v>24</v>
      </c>
      <c r="N12" t="s">
        <v>9</v>
      </c>
      <c r="O12">
        <v>1</v>
      </c>
      <c r="P12">
        <v>120000</v>
      </c>
      <c r="Q12">
        <v>120000</v>
      </c>
      <c r="R12">
        <v>0.1</v>
      </c>
      <c r="S12">
        <v>12000</v>
      </c>
      <c r="T12">
        <v>2500</v>
      </c>
      <c r="U12">
        <v>1500</v>
      </c>
      <c r="V12">
        <v>1800</v>
      </c>
      <c r="W12">
        <v>108000</v>
      </c>
      <c r="X12">
        <v>75600</v>
      </c>
      <c r="Y12">
        <v>31600</v>
      </c>
      <c r="Z12">
        <f t="shared" si="0"/>
        <v>2025</v>
      </c>
      <c r="AA12" t="str">
        <f t="shared" si="1"/>
        <v>October</v>
      </c>
      <c r="AB12">
        <f t="shared" si="2"/>
        <v>10</v>
      </c>
      <c r="AC12" t="str">
        <f t="shared" si="3"/>
        <v>Q4</v>
      </c>
    </row>
    <row r="13" spans="1:29" x14ac:dyDescent="0.35">
      <c r="A13" t="s">
        <v>58</v>
      </c>
      <c r="B13" s="3">
        <v>45686</v>
      </c>
      <c r="C13" s="3">
        <v>45691</v>
      </c>
      <c r="D13" t="s">
        <v>38</v>
      </c>
      <c r="E13" t="s">
        <v>2</v>
      </c>
      <c r="F13" t="s">
        <v>44</v>
      </c>
      <c r="G13" t="s">
        <v>31</v>
      </c>
      <c r="H13" t="str" cm="1">
        <f t="array" ref="H13">_xlfn.IFS(
OR(G13="Abuja",G13="Fct",G13="Abj"),"Abuja Municipal",
G13="Lagos","Ikeja",
G13="Oyo","Ibadan",
G13="Kano","Kano Municipal",
G13="Enugu","Enugu North",
G13="Rivers","Port Harcourt"
)</f>
        <v>Kano Municipal</v>
      </c>
      <c r="I13" t="s">
        <v>59</v>
      </c>
      <c r="J13" t="s">
        <v>60</v>
      </c>
      <c r="K13" t="s">
        <v>42</v>
      </c>
      <c r="L13" t="s">
        <v>32</v>
      </c>
      <c r="M13" t="s">
        <v>24</v>
      </c>
      <c r="N13" t="s">
        <v>9</v>
      </c>
      <c r="O13">
        <v>4</v>
      </c>
      <c r="P13">
        <v>6500</v>
      </c>
      <c r="Q13">
        <v>26000</v>
      </c>
      <c r="R13">
        <v>0.05</v>
      </c>
      <c r="S13">
        <v>1300</v>
      </c>
      <c r="T13">
        <v>3000</v>
      </c>
      <c r="U13">
        <v>1800</v>
      </c>
      <c r="V13">
        <v>390</v>
      </c>
      <c r="W13">
        <v>24700</v>
      </c>
      <c r="X13">
        <v>16055</v>
      </c>
      <c r="Y13">
        <v>9455</v>
      </c>
      <c r="Z13">
        <f t="shared" si="0"/>
        <v>2025</v>
      </c>
      <c r="AA13" t="str">
        <f t="shared" si="1"/>
        <v>January</v>
      </c>
      <c r="AB13">
        <f t="shared" si="2"/>
        <v>1</v>
      </c>
      <c r="AC13" t="str">
        <f t="shared" si="3"/>
        <v>Q1</v>
      </c>
    </row>
    <row r="14" spans="1:29" x14ac:dyDescent="0.35">
      <c r="A14" t="s">
        <v>61</v>
      </c>
      <c r="B14" s="3">
        <v>45806</v>
      </c>
      <c r="C14" s="3">
        <v>45807</v>
      </c>
      <c r="D14" t="s">
        <v>62</v>
      </c>
      <c r="E14" t="s">
        <v>30</v>
      </c>
      <c r="F14" t="s">
        <v>44</v>
      </c>
      <c r="G14" t="s">
        <v>14</v>
      </c>
      <c r="H14" t="str" cm="1">
        <f t="array" ref="H14">_xlfn.IFS(
OR(G14="Abuja",G14="Fct",G14="Abj"),"Abuja Municipal",
G14="Lagos","Ikeja",
G14="Oyo","Ibadan",
G14="Kano","Kano Municipal",
G14="Enugu","Enugu North",
G14="Rivers","Port Harcourt"
)</f>
        <v>Ibadan</v>
      </c>
      <c r="I14" t="s">
        <v>5</v>
      </c>
      <c r="J14" t="s">
        <v>6</v>
      </c>
      <c r="K14" t="s">
        <v>7</v>
      </c>
      <c r="L14" t="s">
        <v>8</v>
      </c>
      <c r="M14" t="s">
        <v>303</v>
      </c>
      <c r="N14" t="s">
        <v>36</v>
      </c>
      <c r="O14">
        <v>2</v>
      </c>
      <c r="P14">
        <v>18500</v>
      </c>
      <c r="Q14">
        <v>37000</v>
      </c>
      <c r="R14">
        <v>0.1</v>
      </c>
      <c r="S14">
        <v>3700</v>
      </c>
      <c r="T14">
        <v>2500</v>
      </c>
      <c r="U14">
        <v>1000</v>
      </c>
      <c r="V14">
        <v>555</v>
      </c>
      <c r="W14">
        <v>33300</v>
      </c>
      <c r="X14">
        <v>23310</v>
      </c>
      <c r="Y14">
        <v>10935</v>
      </c>
      <c r="Z14">
        <f t="shared" si="0"/>
        <v>2025</v>
      </c>
      <c r="AA14" t="str">
        <f t="shared" si="1"/>
        <v>May</v>
      </c>
      <c r="AB14">
        <f t="shared" si="2"/>
        <v>5</v>
      </c>
      <c r="AC14" t="str">
        <f t="shared" si="3"/>
        <v>Q2</v>
      </c>
    </row>
    <row r="15" spans="1:29" x14ac:dyDescent="0.35">
      <c r="A15" t="s">
        <v>63</v>
      </c>
      <c r="B15" s="3">
        <v>45924</v>
      </c>
      <c r="C15" s="3">
        <v>45930</v>
      </c>
      <c r="D15" t="s">
        <v>26</v>
      </c>
      <c r="E15" t="s">
        <v>12</v>
      </c>
      <c r="F15" t="s">
        <v>44</v>
      </c>
      <c r="G15" t="s">
        <v>53</v>
      </c>
      <c r="H15" t="str" cm="1">
        <f t="array" ref="H15">_xlfn.IFS(
OR(G15="Abuja",G15="Fct",G15="Abj"),"Abuja Municipal",
G15="Lagos","Ikeja",
G15="Oyo","Ibadan",
G15="Kano","Kano Municipal",
G15="Enugu","Enugu North",
G15="Rivers","Port Harcourt"
)</f>
        <v>Ikeja</v>
      </c>
      <c r="I15" t="s">
        <v>21</v>
      </c>
      <c r="J15" t="s">
        <v>22</v>
      </c>
      <c r="K15" t="s">
        <v>23</v>
      </c>
      <c r="L15" t="s">
        <v>28</v>
      </c>
      <c r="M15" t="s">
        <v>303</v>
      </c>
      <c r="N15" t="s">
        <v>9</v>
      </c>
      <c r="O15">
        <v>2</v>
      </c>
      <c r="P15">
        <v>78000</v>
      </c>
      <c r="Q15">
        <v>156000</v>
      </c>
      <c r="R15">
        <v>0.15</v>
      </c>
      <c r="S15">
        <v>23400</v>
      </c>
      <c r="T15">
        <v>2500</v>
      </c>
      <c r="U15">
        <v>2800</v>
      </c>
      <c r="V15">
        <v>2340</v>
      </c>
      <c r="W15">
        <v>132600</v>
      </c>
      <c r="X15">
        <v>86190</v>
      </c>
      <c r="Y15">
        <v>43770</v>
      </c>
      <c r="Z15">
        <f t="shared" si="0"/>
        <v>2025</v>
      </c>
      <c r="AA15" t="str">
        <f t="shared" si="1"/>
        <v>September</v>
      </c>
      <c r="AB15">
        <f t="shared" si="2"/>
        <v>9</v>
      </c>
      <c r="AC15" t="str">
        <f t="shared" si="3"/>
        <v>Q3</v>
      </c>
    </row>
    <row r="16" spans="1:29" x14ac:dyDescent="0.35">
      <c r="A16" t="s">
        <v>64</v>
      </c>
      <c r="B16" s="3">
        <v>45953</v>
      </c>
      <c r="C16" s="3">
        <v>45956</v>
      </c>
      <c r="D16" t="s">
        <v>65</v>
      </c>
      <c r="E16" t="s">
        <v>48</v>
      </c>
      <c r="F16" t="s">
        <v>44</v>
      </c>
      <c r="G16" t="s">
        <v>53</v>
      </c>
      <c r="H16" t="str" cm="1">
        <f t="array" ref="H16">_xlfn.IFS(
OR(G16="Abuja",G16="Fct",G16="Abj"),"Abuja Municipal",
G16="Lagos","Ikeja",
G16="Oyo","Ibadan",
G16="Kano","Kano Municipal",
G16="Enugu","Enugu North",
G16="Rivers","Port Harcourt"
)</f>
        <v>Ikeja</v>
      </c>
      <c r="I16" t="s">
        <v>59</v>
      </c>
      <c r="J16" t="s">
        <v>60</v>
      </c>
      <c r="K16" t="s">
        <v>42</v>
      </c>
      <c r="L16" t="s">
        <v>32</v>
      </c>
      <c r="M16" t="s">
        <v>18</v>
      </c>
      <c r="N16" t="s">
        <v>9</v>
      </c>
      <c r="O16">
        <v>2</v>
      </c>
      <c r="P16">
        <v>6500</v>
      </c>
      <c r="Q16">
        <v>13000</v>
      </c>
      <c r="R16">
        <v>0.2</v>
      </c>
      <c r="S16">
        <v>2600</v>
      </c>
      <c r="T16">
        <v>2000</v>
      </c>
      <c r="U16">
        <v>2200</v>
      </c>
      <c r="V16">
        <v>195</v>
      </c>
      <c r="W16">
        <v>10400</v>
      </c>
      <c r="X16">
        <v>6760</v>
      </c>
      <c r="Y16">
        <v>3245</v>
      </c>
      <c r="Z16">
        <f t="shared" si="0"/>
        <v>2025</v>
      </c>
      <c r="AA16" t="str">
        <f t="shared" si="1"/>
        <v>October</v>
      </c>
      <c r="AB16">
        <f t="shared" si="2"/>
        <v>10</v>
      </c>
      <c r="AC16" t="str">
        <f t="shared" si="3"/>
        <v>Q4</v>
      </c>
    </row>
    <row r="17" spans="1:29" x14ac:dyDescent="0.35">
      <c r="A17" t="s">
        <v>66</v>
      </c>
      <c r="B17" s="3">
        <v>45668</v>
      </c>
      <c r="C17" s="3">
        <v>45672</v>
      </c>
      <c r="D17" t="s">
        <v>20</v>
      </c>
      <c r="E17" t="s">
        <v>34</v>
      </c>
      <c r="F17" t="s">
        <v>3</v>
      </c>
      <c r="G17" t="s">
        <v>4</v>
      </c>
      <c r="H17" t="str" cm="1">
        <f t="array" ref="H17">_xlfn.IFS(
OR(G17="Abuja",G17="Fct",G17="Abj"),"Abuja Municipal",
G17="Lagos","Ikeja",
G17="Oyo","Ibadan",
G17="Kano","Kano Municipal",
G17="Enugu","Enugu North",
G17="Rivers","Port Harcourt"
)</f>
        <v>Enugu North</v>
      </c>
      <c r="I17" t="s">
        <v>59</v>
      </c>
      <c r="J17" t="s">
        <v>60</v>
      </c>
      <c r="K17" t="s">
        <v>42</v>
      </c>
      <c r="L17" t="s">
        <v>28</v>
      </c>
      <c r="M17" t="s">
        <v>303</v>
      </c>
      <c r="N17" t="s">
        <v>46</v>
      </c>
      <c r="O17">
        <v>2</v>
      </c>
      <c r="P17">
        <v>18500</v>
      </c>
      <c r="Q17">
        <v>37000</v>
      </c>
      <c r="R17">
        <v>0.05</v>
      </c>
      <c r="S17">
        <v>1850</v>
      </c>
      <c r="T17">
        <v>3500</v>
      </c>
      <c r="U17">
        <v>1500</v>
      </c>
      <c r="V17">
        <v>555</v>
      </c>
      <c r="W17">
        <v>35150</v>
      </c>
      <c r="X17">
        <v>24605</v>
      </c>
      <c r="Y17">
        <v>11990</v>
      </c>
      <c r="Z17">
        <f t="shared" si="0"/>
        <v>2025</v>
      </c>
      <c r="AA17" t="str">
        <f t="shared" si="1"/>
        <v>January</v>
      </c>
      <c r="AB17">
        <f t="shared" si="2"/>
        <v>1</v>
      </c>
      <c r="AC17" t="str">
        <f t="shared" si="3"/>
        <v>Q1</v>
      </c>
    </row>
    <row r="18" spans="1:29" x14ac:dyDescent="0.35">
      <c r="A18" t="s">
        <v>67</v>
      </c>
      <c r="B18" s="3">
        <v>45821</v>
      </c>
      <c r="C18" s="3">
        <v>45822</v>
      </c>
      <c r="D18" t="s">
        <v>62</v>
      </c>
      <c r="E18" t="s">
        <v>12</v>
      </c>
      <c r="F18" t="s">
        <v>44</v>
      </c>
      <c r="G18" t="s">
        <v>4</v>
      </c>
      <c r="H18" t="str" cm="1">
        <f t="array" ref="H18">_xlfn.IFS(
OR(G18="Abuja",G18="Fct",G18="Abj"),"Abuja Municipal",
G18="Lagos","Ikeja",
G18="Oyo","Ibadan",
G18="Kano","Kano Municipal",
G18="Enugu","Enugu North",
G18="Rivers","Port Harcourt"
)</f>
        <v>Enugu North</v>
      </c>
      <c r="I18" t="s">
        <v>21</v>
      </c>
      <c r="J18" t="s">
        <v>22</v>
      </c>
      <c r="K18" t="s">
        <v>23</v>
      </c>
      <c r="L18" t="s">
        <v>32</v>
      </c>
      <c r="M18" t="s">
        <v>303</v>
      </c>
      <c r="N18" t="s">
        <v>9</v>
      </c>
      <c r="O18">
        <v>2</v>
      </c>
      <c r="P18">
        <v>45000</v>
      </c>
      <c r="Q18">
        <v>90000</v>
      </c>
      <c r="R18">
        <v>0.1</v>
      </c>
      <c r="S18">
        <v>9000</v>
      </c>
      <c r="T18">
        <v>3500</v>
      </c>
      <c r="U18">
        <v>1000</v>
      </c>
      <c r="V18">
        <v>1350</v>
      </c>
      <c r="W18">
        <v>81000</v>
      </c>
      <c r="X18">
        <v>48600</v>
      </c>
      <c r="Y18">
        <v>33550</v>
      </c>
      <c r="Z18">
        <f t="shared" si="0"/>
        <v>2025</v>
      </c>
      <c r="AA18" t="str">
        <f t="shared" si="1"/>
        <v>June</v>
      </c>
      <c r="AB18">
        <f t="shared" si="2"/>
        <v>6</v>
      </c>
      <c r="AC18" t="str">
        <f t="shared" si="3"/>
        <v>Q2</v>
      </c>
    </row>
    <row r="19" spans="1:29" x14ac:dyDescent="0.35">
      <c r="A19" t="s">
        <v>68</v>
      </c>
      <c r="B19" s="3">
        <v>45770</v>
      </c>
      <c r="C19" s="3">
        <v>45773</v>
      </c>
      <c r="D19" t="s">
        <v>65</v>
      </c>
      <c r="E19" t="s">
        <v>12</v>
      </c>
      <c r="F19" t="s">
        <v>3</v>
      </c>
      <c r="G19" t="s">
        <v>4</v>
      </c>
      <c r="H19" t="str" cm="1">
        <f t="array" ref="H19">_xlfn.IFS(
OR(G19="Abuja",G19="Fct",G19="Abj"),"Abuja Municipal",
G19="Lagos","Ikeja",
G19="Oyo","Ibadan",
G19="Kano","Kano Municipal",
G19="Enugu","Enugu North",
G19="Rivers","Port Harcourt"
)</f>
        <v>Enugu North</v>
      </c>
      <c r="I19" t="s">
        <v>40</v>
      </c>
      <c r="J19" t="s">
        <v>41</v>
      </c>
      <c r="K19" t="s">
        <v>42</v>
      </c>
      <c r="L19" t="s">
        <v>28</v>
      </c>
      <c r="M19" t="s">
        <v>303</v>
      </c>
      <c r="N19" t="s">
        <v>9</v>
      </c>
      <c r="O19">
        <v>2</v>
      </c>
      <c r="P19">
        <v>25500</v>
      </c>
      <c r="Q19">
        <v>51000</v>
      </c>
      <c r="R19">
        <v>0.05</v>
      </c>
      <c r="S19">
        <v>2550</v>
      </c>
      <c r="T19">
        <v>2000</v>
      </c>
      <c r="U19">
        <v>1800</v>
      </c>
      <c r="V19">
        <v>765</v>
      </c>
      <c r="W19">
        <v>48450</v>
      </c>
      <c r="X19">
        <v>26647.5</v>
      </c>
      <c r="Y19">
        <v>21237.5</v>
      </c>
      <c r="Z19">
        <f t="shared" si="0"/>
        <v>2025</v>
      </c>
      <c r="AA19" t="str">
        <f t="shared" si="1"/>
        <v>April</v>
      </c>
      <c r="AB19">
        <f t="shared" si="2"/>
        <v>4</v>
      </c>
      <c r="AC19" t="str">
        <f t="shared" si="3"/>
        <v>Q2</v>
      </c>
    </row>
    <row r="20" spans="1:29" x14ac:dyDescent="0.35">
      <c r="A20" t="s">
        <v>69</v>
      </c>
      <c r="B20" s="3">
        <v>45844</v>
      </c>
      <c r="C20" s="3">
        <v>45847</v>
      </c>
      <c r="D20" t="s">
        <v>26</v>
      </c>
      <c r="E20" t="s">
        <v>2</v>
      </c>
      <c r="F20" t="s">
        <v>44</v>
      </c>
      <c r="G20" t="s">
        <v>31</v>
      </c>
      <c r="H20" t="str" cm="1">
        <f t="array" ref="H20">_xlfn.IFS(
OR(G20="Abuja",G20="Fct",G20="Abj"),"Abuja Municipal",
G20="Lagos","Ikeja",
G20="Oyo","Ibadan",
G20="Kano","Kano Municipal",
G20="Enugu","Enugu North",
G20="Rivers","Port Harcourt"
)</f>
        <v>Kano Municipal</v>
      </c>
      <c r="I20" t="s">
        <v>5</v>
      </c>
      <c r="J20" t="s">
        <v>6</v>
      </c>
      <c r="K20" t="s">
        <v>7</v>
      </c>
      <c r="L20" t="s">
        <v>28</v>
      </c>
      <c r="M20" t="s">
        <v>18</v>
      </c>
      <c r="N20" t="s">
        <v>9</v>
      </c>
      <c r="O20">
        <v>2</v>
      </c>
      <c r="P20">
        <v>6500</v>
      </c>
      <c r="Q20">
        <v>13000</v>
      </c>
      <c r="R20">
        <v>0.15</v>
      </c>
      <c r="S20">
        <v>1950</v>
      </c>
      <c r="T20">
        <v>3000</v>
      </c>
      <c r="U20">
        <v>3200</v>
      </c>
      <c r="V20">
        <v>195</v>
      </c>
      <c r="W20">
        <v>11050</v>
      </c>
      <c r="X20">
        <v>7182.5</v>
      </c>
      <c r="Y20">
        <v>3472.5</v>
      </c>
      <c r="Z20">
        <f t="shared" si="0"/>
        <v>2025</v>
      </c>
      <c r="AA20" t="str">
        <f t="shared" si="1"/>
        <v>July</v>
      </c>
      <c r="AB20">
        <f t="shared" si="2"/>
        <v>7</v>
      </c>
      <c r="AC20" t="str">
        <f t="shared" si="3"/>
        <v>Q3</v>
      </c>
    </row>
    <row r="21" spans="1:29" x14ac:dyDescent="0.35">
      <c r="A21" t="s">
        <v>70</v>
      </c>
      <c r="B21" s="3">
        <v>45952</v>
      </c>
      <c r="C21" s="3">
        <v>45953</v>
      </c>
      <c r="D21" t="s">
        <v>71</v>
      </c>
      <c r="E21" t="s">
        <v>2</v>
      </c>
      <c r="F21" t="s">
        <v>3</v>
      </c>
      <c r="G21" t="s">
        <v>14</v>
      </c>
      <c r="H21" t="str" cm="1">
        <f t="array" ref="H21">_xlfn.IFS(
OR(G21="Abuja",G21="Fct",G21="Abj"),"Abuja Municipal",
G21="Lagos","Ikeja",
G21="Oyo","Ibadan",
G21="Kano","Kano Municipal",
G21="Enugu","Enugu North",
G21="Rivers","Port Harcourt"
)</f>
        <v>Ibadan</v>
      </c>
      <c r="I21" t="s">
        <v>56</v>
      </c>
      <c r="J21" t="s">
        <v>57</v>
      </c>
      <c r="K21" t="s">
        <v>17</v>
      </c>
      <c r="L21" t="s">
        <v>28</v>
      </c>
      <c r="M21" t="s">
        <v>303</v>
      </c>
      <c r="N21" t="s">
        <v>46</v>
      </c>
      <c r="O21">
        <v>4</v>
      </c>
      <c r="P21">
        <v>6500</v>
      </c>
      <c r="Q21">
        <v>26000</v>
      </c>
      <c r="R21">
        <v>0.05</v>
      </c>
      <c r="S21">
        <v>1300</v>
      </c>
      <c r="T21">
        <v>1500</v>
      </c>
      <c r="U21">
        <v>1500</v>
      </c>
      <c r="V21">
        <v>390</v>
      </c>
      <c r="W21">
        <v>24700</v>
      </c>
      <c r="X21">
        <v>14820</v>
      </c>
      <c r="Y21">
        <v>9490</v>
      </c>
      <c r="Z21">
        <f t="shared" si="0"/>
        <v>2025</v>
      </c>
      <c r="AA21" t="str">
        <f t="shared" si="1"/>
        <v>October</v>
      </c>
      <c r="AB21">
        <f t="shared" si="2"/>
        <v>10</v>
      </c>
      <c r="AC21" t="str">
        <f t="shared" si="3"/>
        <v>Q4</v>
      </c>
    </row>
    <row r="22" spans="1:29" x14ac:dyDescent="0.35">
      <c r="A22" t="s">
        <v>72</v>
      </c>
      <c r="B22" s="3">
        <v>45889</v>
      </c>
      <c r="C22" s="3">
        <v>45894</v>
      </c>
      <c r="D22" t="s">
        <v>33</v>
      </c>
      <c r="E22" t="s">
        <v>30</v>
      </c>
      <c r="F22" t="s">
        <v>44</v>
      </c>
      <c r="G22" t="s">
        <v>31</v>
      </c>
      <c r="H22" t="str" cm="1">
        <f t="array" ref="H22">_xlfn.IFS(
OR(G22="Abuja",G22="Fct",G22="Abj"),"Abuja Municipal",
G22="Lagos","Ikeja",
G22="Oyo","Ibadan",
G22="Kano","Kano Municipal",
G22="Enugu","Enugu North",
G22="Rivers","Port Harcourt"
)</f>
        <v>Kano Municipal</v>
      </c>
      <c r="I22" t="s">
        <v>49</v>
      </c>
      <c r="J22" t="s">
        <v>50</v>
      </c>
      <c r="K22" t="s">
        <v>42</v>
      </c>
      <c r="L22" t="s">
        <v>8</v>
      </c>
      <c r="M22" t="s">
        <v>303</v>
      </c>
      <c r="N22" t="s">
        <v>9</v>
      </c>
      <c r="O22">
        <v>1</v>
      </c>
      <c r="P22">
        <v>78000</v>
      </c>
      <c r="Q22">
        <v>78000</v>
      </c>
      <c r="R22">
        <v>0</v>
      </c>
      <c r="S22">
        <v>0</v>
      </c>
      <c r="T22">
        <v>1500</v>
      </c>
      <c r="U22">
        <v>1800</v>
      </c>
      <c r="V22">
        <v>1170</v>
      </c>
      <c r="W22">
        <v>78000</v>
      </c>
      <c r="X22">
        <v>50700</v>
      </c>
      <c r="Y22">
        <v>25830</v>
      </c>
      <c r="Z22">
        <f t="shared" si="0"/>
        <v>2025</v>
      </c>
      <c r="AA22" t="str">
        <f t="shared" si="1"/>
        <v>August</v>
      </c>
      <c r="AB22">
        <f t="shared" si="2"/>
        <v>8</v>
      </c>
      <c r="AC22" t="str">
        <f t="shared" si="3"/>
        <v>Q3</v>
      </c>
    </row>
    <row r="23" spans="1:29" x14ac:dyDescent="0.35">
      <c r="A23" t="s">
        <v>73</v>
      </c>
      <c r="B23" s="3">
        <v>45884</v>
      </c>
      <c r="C23" s="3">
        <v>45887</v>
      </c>
      <c r="D23" t="s">
        <v>62</v>
      </c>
      <c r="E23" t="s">
        <v>55</v>
      </c>
      <c r="F23" t="s">
        <v>44</v>
      </c>
      <c r="G23" t="s">
        <v>35</v>
      </c>
      <c r="H23" t="str" cm="1">
        <f t="array" ref="H23">_xlfn.IFS(
OR(G23="Abuja",G23="Fct",G23="Abj"),"Abuja Municipal",
G23="Lagos","Ikeja",
G23="Oyo","Ibadan",
G23="Kano","Kano Municipal",
G23="Enugu","Enugu North",
G23="Rivers","Port Harcourt"
)</f>
        <v>Abuja Municipal</v>
      </c>
      <c r="I23" t="s">
        <v>15</v>
      </c>
      <c r="J23" t="s">
        <v>16</v>
      </c>
      <c r="K23" t="s">
        <v>17</v>
      </c>
      <c r="L23" t="s">
        <v>28</v>
      </c>
      <c r="M23" t="s">
        <v>18</v>
      </c>
      <c r="N23" t="s">
        <v>36</v>
      </c>
      <c r="O23">
        <v>3</v>
      </c>
      <c r="P23">
        <v>32000</v>
      </c>
      <c r="Q23">
        <v>96000</v>
      </c>
      <c r="R23">
        <v>0.1</v>
      </c>
      <c r="S23">
        <v>9600</v>
      </c>
      <c r="T23">
        <v>1500</v>
      </c>
      <c r="U23">
        <v>2200</v>
      </c>
      <c r="V23">
        <v>1440</v>
      </c>
      <c r="W23">
        <v>86400</v>
      </c>
      <c r="X23">
        <v>56160</v>
      </c>
      <c r="Y23">
        <v>28100</v>
      </c>
      <c r="Z23">
        <f t="shared" si="0"/>
        <v>2025</v>
      </c>
      <c r="AA23" t="str">
        <f t="shared" si="1"/>
        <v>August</v>
      </c>
      <c r="AB23">
        <f t="shared" si="2"/>
        <v>8</v>
      </c>
      <c r="AC23" t="str">
        <f t="shared" si="3"/>
        <v>Q3</v>
      </c>
    </row>
    <row r="24" spans="1:29" x14ac:dyDescent="0.35">
      <c r="A24" t="s">
        <v>74</v>
      </c>
      <c r="B24" s="3">
        <v>45967</v>
      </c>
      <c r="C24" s="3">
        <v>45972</v>
      </c>
      <c r="D24" t="s">
        <v>75</v>
      </c>
      <c r="E24" t="s">
        <v>2</v>
      </c>
      <c r="F24" t="s">
        <v>13</v>
      </c>
      <c r="G24" t="s">
        <v>35</v>
      </c>
      <c r="H24" t="str" cm="1">
        <f t="array" ref="H24">_xlfn.IFS(
OR(G24="Abuja",G24="Fct",G24="Abj"),"Abuja Municipal",
G24="Lagos","Ikeja",
G24="Oyo","Ibadan",
G24="Kano","Kano Municipal",
G24="Enugu","Enugu North",
G24="Rivers","Port Harcourt"
)</f>
        <v>Abuja Municipal</v>
      </c>
      <c r="I24" t="s">
        <v>49</v>
      </c>
      <c r="J24" t="s">
        <v>50</v>
      </c>
      <c r="K24" t="s">
        <v>42</v>
      </c>
      <c r="L24" t="s">
        <v>28</v>
      </c>
      <c r="M24" t="s">
        <v>303</v>
      </c>
      <c r="N24" t="s">
        <v>9</v>
      </c>
      <c r="O24">
        <v>5</v>
      </c>
      <c r="P24">
        <v>45000</v>
      </c>
      <c r="Q24">
        <v>225000</v>
      </c>
      <c r="R24">
        <v>0.05</v>
      </c>
      <c r="S24">
        <v>11250</v>
      </c>
      <c r="T24">
        <v>2000</v>
      </c>
      <c r="U24">
        <v>2800</v>
      </c>
      <c r="V24">
        <v>3375</v>
      </c>
      <c r="W24">
        <v>213750</v>
      </c>
      <c r="X24">
        <v>117562.5</v>
      </c>
      <c r="Y24">
        <v>92012.5</v>
      </c>
      <c r="Z24">
        <f t="shared" si="0"/>
        <v>2025</v>
      </c>
      <c r="AA24" t="str">
        <f t="shared" si="1"/>
        <v>November</v>
      </c>
      <c r="AB24">
        <f t="shared" si="2"/>
        <v>11</v>
      </c>
      <c r="AC24" t="str">
        <f t="shared" si="3"/>
        <v>Q4</v>
      </c>
    </row>
    <row r="25" spans="1:29" x14ac:dyDescent="0.35">
      <c r="A25" t="s">
        <v>76</v>
      </c>
      <c r="B25" s="3">
        <v>45755</v>
      </c>
      <c r="C25" s="3">
        <v>45756</v>
      </c>
      <c r="D25" t="s">
        <v>71</v>
      </c>
      <c r="E25" t="s">
        <v>2</v>
      </c>
      <c r="F25" t="s">
        <v>44</v>
      </c>
      <c r="G25" t="s">
        <v>35</v>
      </c>
      <c r="H25" t="str" cm="1">
        <f t="array" ref="H25">_xlfn.IFS(
OR(G25="Abuja",G25="Fct",G25="Abj"),"Abuja Municipal",
G25="Lagos","Ikeja",
G25="Oyo","Ibadan",
G25="Kano","Kano Municipal",
G25="Enugu","Enugu North",
G25="Rivers","Port Harcourt"
)</f>
        <v>Abuja Municipal</v>
      </c>
      <c r="I25" t="s">
        <v>15</v>
      </c>
      <c r="J25" t="s">
        <v>16</v>
      </c>
      <c r="K25" t="s">
        <v>42</v>
      </c>
      <c r="L25" t="s">
        <v>28</v>
      </c>
      <c r="M25" t="s">
        <v>303</v>
      </c>
      <c r="N25" t="s">
        <v>46</v>
      </c>
      <c r="O25">
        <v>3</v>
      </c>
      <c r="P25">
        <v>78000</v>
      </c>
      <c r="Q25">
        <v>234000</v>
      </c>
      <c r="R25">
        <v>0.15</v>
      </c>
      <c r="S25">
        <v>35100</v>
      </c>
      <c r="T25">
        <v>2000</v>
      </c>
      <c r="U25">
        <v>1500</v>
      </c>
      <c r="V25">
        <v>3510</v>
      </c>
      <c r="W25">
        <v>198900</v>
      </c>
      <c r="X25">
        <v>129285</v>
      </c>
      <c r="Y25">
        <v>66605</v>
      </c>
      <c r="Z25">
        <f t="shared" si="0"/>
        <v>2025</v>
      </c>
      <c r="AA25" t="str">
        <f t="shared" si="1"/>
        <v>April</v>
      </c>
      <c r="AB25">
        <f t="shared" si="2"/>
        <v>4</v>
      </c>
      <c r="AC25" t="str">
        <f t="shared" si="3"/>
        <v>Q2</v>
      </c>
    </row>
    <row r="26" spans="1:29" x14ac:dyDescent="0.35">
      <c r="A26" t="s">
        <v>77</v>
      </c>
      <c r="B26" s="3">
        <v>45712</v>
      </c>
      <c r="C26" s="3">
        <v>45717</v>
      </c>
      <c r="D26" t="s">
        <v>33</v>
      </c>
      <c r="E26" t="s">
        <v>2</v>
      </c>
      <c r="F26" t="s">
        <v>3</v>
      </c>
      <c r="G26" t="s">
        <v>35</v>
      </c>
      <c r="H26" t="str" cm="1">
        <f t="array" ref="H26">_xlfn.IFS(
OR(G26="Abuja",G26="Fct",G26="Abj"),"Abuja Municipal",
G26="Lagos","Ikeja",
G26="Oyo","Ibadan",
G26="Kano","Kano Municipal",
G26="Enugu","Enugu North",
G26="Rivers","Port Harcourt"
)</f>
        <v>Abuja Municipal</v>
      </c>
      <c r="I26" t="s">
        <v>49</v>
      </c>
      <c r="J26" t="s">
        <v>50</v>
      </c>
      <c r="K26" t="s">
        <v>42</v>
      </c>
      <c r="L26" t="s">
        <v>32</v>
      </c>
      <c r="M26" t="s">
        <v>24</v>
      </c>
      <c r="N26" t="s">
        <v>9</v>
      </c>
      <c r="O26">
        <v>3</v>
      </c>
      <c r="P26">
        <v>18500</v>
      </c>
      <c r="Q26">
        <v>55500</v>
      </c>
      <c r="R26">
        <v>0.15</v>
      </c>
      <c r="S26">
        <v>8325</v>
      </c>
      <c r="T26">
        <v>2500</v>
      </c>
      <c r="U26">
        <v>1500</v>
      </c>
      <c r="V26">
        <v>832.5</v>
      </c>
      <c r="W26">
        <v>47175</v>
      </c>
      <c r="X26">
        <v>25946.25</v>
      </c>
      <c r="Y26">
        <v>21396.25</v>
      </c>
      <c r="Z26">
        <f t="shared" si="0"/>
        <v>2025</v>
      </c>
      <c r="AA26" t="str">
        <f t="shared" si="1"/>
        <v>February</v>
      </c>
      <c r="AB26">
        <f t="shared" si="2"/>
        <v>2</v>
      </c>
      <c r="AC26" t="str">
        <f t="shared" si="3"/>
        <v>Q1</v>
      </c>
    </row>
    <row r="27" spans="1:29" x14ac:dyDescent="0.35">
      <c r="A27" t="s">
        <v>78</v>
      </c>
      <c r="B27" s="3">
        <v>45768</v>
      </c>
      <c r="C27" s="3">
        <v>45770</v>
      </c>
      <c r="D27" t="s">
        <v>38</v>
      </c>
      <c r="E27" t="s">
        <v>30</v>
      </c>
      <c r="F27" t="s">
        <v>44</v>
      </c>
      <c r="G27" t="s">
        <v>14</v>
      </c>
      <c r="H27" t="str" cm="1">
        <f t="array" ref="H27">_xlfn.IFS(
OR(G27="Abuja",G27="Fct",G27="Abj"),"Abuja Municipal",
G27="Lagos","Ikeja",
G27="Oyo","Ibadan",
G27="Kano","Kano Municipal",
G27="Enugu","Enugu North",
G27="Rivers","Port Harcourt"
)</f>
        <v>Ibadan</v>
      </c>
      <c r="I27" t="s">
        <v>21</v>
      </c>
      <c r="J27" t="s">
        <v>22</v>
      </c>
      <c r="K27" t="s">
        <v>23</v>
      </c>
      <c r="L27" t="s">
        <v>28</v>
      </c>
      <c r="M27" t="s">
        <v>18</v>
      </c>
      <c r="N27" t="s">
        <v>9</v>
      </c>
      <c r="O27">
        <v>1</v>
      </c>
      <c r="P27">
        <v>18500</v>
      </c>
      <c r="Q27">
        <v>18500</v>
      </c>
      <c r="R27">
        <v>0.05</v>
      </c>
      <c r="S27">
        <v>925</v>
      </c>
      <c r="T27">
        <v>1500</v>
      </c>
      <c r="U27">
        <v>2200</v>
      </c>
      <c r="V27">
        <v>277.5</v>
      </c>
      <c r="W27">
        <v>17575</v>
      </c>
      <c r="X27">
        <v>9666.25</v>
      </c>
      <c r="Y27">
        <v>6931.25</v>
      </c>
      <c r="Z27">
        <f t="shared" si="0"/>
        <v>2025</v>
      </c>
      <c r="AA27" t="str">
        <f t="shared" si="1"/>
        <v>April</v>
      </c>
      <c r="AB27">
        <f t="shared" si="2"/>
        <v>4</v>
      </c>
      <c r="AC27" t="str">
        <f t="shared" si="3"/>
        <v>Q2</v>
      </c>
    </row>
    <row r="28" spans="1:29" x14ac:dyDescent="0.35">
      <c r="A28" t="s">
        <v>79</v>
      </c>
      <c r="B28" s="3">
        <v>45809</v>
      </c>
      <c r="C28" s="3">
        <v>45813</v>
      </c>
      <c r="D28" t="s">
        <v>1</v>
      </c>
      <c r="E28" t="s">
        <v>55</v>
      </c>
      <c r="F28" t="s">
        <v>44</v>
      </c>
      <c r="G28" t="s">
        <v>53</v>
      </c>
      <c r="H28" t="str" cm="1">
        <f t="array" ref="H28">_xlfn.IFS(
OR(G28="Abuja",G28="Fct",G28="Abj"),"Abuja Municipal",
G28="Lagos","Ikeja",
G28="Oyo","Ibadan",
G28="Kano","Kano Municipal",
G28="Enugu","Enugu North",
G28="Rivers","Port Harcourt"
)</f>
        <v>Ikeja</v>
      </c>
      <c r="I28" t="s">
        <v>56</v>
      </c>
      <c r="J28" t="s">
        <v>57</v>
      </c>
      <c r="K28" t="s">
        <v>17</v>
      </c>
      <c r="L28" t="s">
        <v>32</v>
      </c>
      <c r="M28" t="s">
        <v>18</v>
      </c>
      <c r="N28" t="s">
        <v>9</v>
      </c>
      <c r="O28">
        <v>1</v>
      </c>
      <c r="P28">
        <v>18500</v>
      </c>
      <c r="Q28">
        <v>18500</v>
      </c>
      <c r="R28">
        <v>0.15</v>
      </c>
      <c r="S28">
        <v>2775</v>
      </c>
      <c r="T28">
        <v>3000</v>
      </c>
      <c r="U28">
        <v>3200</v>
      </c>
      <c r="V28">
        <v>277.5</v>
      </c>
      <c r="W28">
        <v>15725</v>
      </c>
      <c r="X28">
        <v>8648.75</v>
      </c>
      <c r="Y28">
        <v>6598.75</v>
      </c>
      <c r="Z28">
        <f t="shared" si="0"/>
        <v>2025</v>
      </c>
      <c r="AA28" t="str">
        <f t="shared" si="1"/>
        <v>June</v>
      </c>
      <c r="AB28">
        <f t="shared" si="2"/>
        <v>6</v>
      </c>
      <c r="AC28" t="str">
        <f t="shared" si="3"/>
        <v>Q2</v>
      </c>
    </row>
    <row r="29" spans="1:29" x14ac:dyDescent="0.35">
      <c r="A29" t="s">
        <v>80</v>
      </c>
      <c r="B29" s="3">
        <v>45903</v>
      </c>
      <c r="C29" s="3">
        <v>45910</v>
      </c>
      <c r="D29" t="s">
        <v>11</v>
      </c>
      <c r="E29" t="s">
        <v>34</v>
      </c>
      <c r="F29" t="s">
        <v>44</v>
      </c>
      <c r="G29" t="s">
        <v>31</v>
      </c>
      <c r="H29" t="str" cm="1">
        <f t="array" ref="H29">_xlfn.IFS(
OR(G29="Abuja",G29="Fct",G29="Abj"),"Abuja Municipal",
G29="Lagos","Ikeja",
G29="Oyo","Ibadan",
G29="Kano","Kano Municipal",
G29="Enugu","Enugu North",
G29="Rivers","Port Harcourt"
)</f>
        <v>Kano Municipal</v>
      </c>
      <c r="I29" t="s">
        <v>5</v>
      </c>
      <c r="J29" t="s">
        <v>6</v>
      </c>
      <c r="K29" t="s">
        <v>7</v>
      </c>
      <c r="L29" t="s">
        <v>28</v>
      </c>
      <c r="M29" t="s">
        <v>18</v>
      </c>
      <c r="N29" t="s">
        <v>36</v>
      </c>
      <c r="O29">
        <v>1</v>
      </c>
      <c r="P29">
        <v>15000</v>
      </c>
      <c r="Q29">
        <v>15000</v>
      </c>
      <c r="R29">
        <v>0.2</v>
      </c>
      <c r="S29">
        <v>3000</v>
      </c>
      <c r="T29">
        <v>3000</v>
      </c>
      <c r="U29">
        <v>1000</v>
      </c>
      <c r="V29">
        <v>225</v>
      </c>
      <c r="W29">
        <v>12000</v>
      </c>
      <c r="X29">
        <v>7200</v>
      </c>
      <c r="Y29">
        <v>6575</v>
      </c>
      <c r="Z29">
        <f t="shared" si="0"/>
        <v>2025</v>
      </c>
      <c r="AA29" t="str">
        <f t="shared" si="1"/>
        <v>September</v>
      </c>
      <c r="AB29">
        <f t="shared" si="2"/>
        <v>9</v>
      </c>
      <c r="AC29" t="str">
        <f t="shared" si="3"/>
        <v>Q3</v>
      </c>
    </row>
    <row r="30" spans="1:29" x14ac:dyDescent="0.35">
      <c r="A30" t="s">
        <v>81</v>
      </c>
      <c r="B30" s="3">
        <v>45726</v>
      </c>
      <c r="C30" s="3">
        <v>45729</v>
      </c>
      <c r="D30" t="s">
        <v>75</v>
      </c>
      <c r="E30" t="s">
        <v>34</v>
      </c>
      <c r="F30" t="s">
        <v>44</v>
      </c>
      <c r="G30" t="s">
        <v>53</v>
      </c>
      <c r="H30" t="str" cm="1">
        <f t="array" ref="H30">_xlfn.IFS(
OR(G30="Abuja",G30="Fct",G30="Abj"),"Abuja Municipal",
G30="Lagos","Ikeja",
G30="Oyo","Ibadan",
G30="Kano","Kano Municipal",
G30="Enugu","Enugu North",
G30="Rivers","Port Harcourt"
)</f>
        <v>Ikeja</v>
      </c>
      <c r="I30" t="s">
        <v>15</v>
      </c>
      <c r="J30" t="s">
        <v>16</v>
      </c>
      <c r="K30" t="s">
        <v>17</v>
      </c>
      <c r="L30" t="s">
        <v>28</v>
      </c>
      <c r="M30" t="s">
        <v>18</v>
      </c>
      <c r="N30" t="s">
        <v>9</v>
      </c>
      <c r="O30">
        <v>2</v>
      </c>
      <c r="P30">
        <v>18500</v>
      </c>
      <c r="Q30">
        <v>37000</v>
      </c>
      <c r="R30">
        <v>0.2</v>
      </c>
      <c r="S30">
        <v>7400</v>
      </c>
      <c r="T30">
        <v>1500</v>
      </c>
      <c r="U30">
        <v>2800</v>
      </c>
      <c r="V30">
        <v>555</v>
      </c>
      <c r="W30">
        <v>29600</v>
      </c>
      <c r="X30">
        <v>20720</v>
      </c>
      <c r="Y30">
        <v>7025</v>
      </c>
      <c r="Z30">
        <f t="shared" si="0"/>
        <v>2025</v>
      </c>
      <c r="AA30" t="str">
        <f t="shared" si="1"/>
        <v>March</v>
      </c>
      <c r="AB30">
        <f t="shared" si="2"/>
        <v>3</v>
      </c>
      <c r="AC30" t="str">
        <f t="shared" si="3"/>
        <v>Q1</v>
      </c>
    </row>
    <row r="31" spans="1:29" x14ac:dyDescent="0.35">
      <c r="A31" t="s">
        <v>82</v>
      </c>
      <c r="B31" s="3">
        <v>45969</v>
      </c>
      <c r="C31" s="3">
        <v>45975</v>
      </c>
      <c r="D31" t="s">
        <v>38</v>
      </c>
      <c r="E31" t="s">
        <v>52</v>
      </c>
      <c r="F31" t="s">
        <v>44</v>
      </c>
      <c r="G31" t="s">
        <v>4</v>
      </c>
      <c r="H31" t="str" cm="1">
        <f t="array" ref="H31">_xlfn.IFS(
OR(G31="Abuja",G31="Fct",G31="Abj"),"Abuja Municipal",
G31="Lagos","Ikeja",
G31="Oyo","Ibadan",
G31="Kano","Kano Municipal",
G31="Enugu","Enugu North",
G31="Rivers","Port Harcourt"
)</f>
        <v>Enugu North</v>
      </c>
      <c r="I31" t="s">
        <v>5</v>
      </c>
      <c r="J31" t="s">
        <v>6</v>
      </c>
      <c r="K31" t="s">
        <v>7</v>
      </c>
      <c r="L31" t="s">
        <v>8</v>
      </c>
      <c r="M31" t="s">
        <v>18</v>
      </c>
      <c r="N31" t="s">
        <v>9</v>
      </c>
      <c r="O31">
        <v>4</v>
      </c>
      <c r="P31">
        <v>32000</v>
      </c>
      <c r="Q31">
        <v>128000</v>
      </c>
      <c r="R31">
        <v>0.2</v>
      </c>
      <c r="S31">
        <v>25600</v>
      </c>
      <c r="T31">
        <v>1500</v>
      </c>
      <c r="U31">
        <v>1500</v>
      </c>
      <c r="V31">
        <v>1920</v>
      </c>
      <c r="W31">
        <v>102400</v>
      </c>
      <c r="X31">
        <v>61440</v>
      </c>
      <c r="Y31">
        <v>39040</v>
      </c>
      <c r="Z31">
        <f t="shared" si="0"/>
        <v>2025</v>
      </c>
      <c r="AA31" t="str">
        <f t="shared" si="1"/>
        <v>November</v>
      </c>
      <c r="AB31">
        <f t="shared" si="2"/>
        <v>11</v>
      </c>
      <c r="AC31" t="str">
        <f t="shared" si="3"/>
        <v>Q4</v>
      </c>
    </row>
    <row r="32" spans="1:29" x14ac:dyDescent="0.35">
      <c r="A32" t="s">
        <v>83</v>
      </c>
      <c r="B32" s="3">
        <v>45946</v>
      </c>
      <c r="C32" s="3">
        <v>45950</v>
      </c>
      <c r="D32" t="s">
        <v>26</v>
      </c>
      <c r="E32" t="s">
        <v>52</v>
      </c>
      <c r="F32" t="s">
        <v>13</v>
      </c>
      <c r="G32" t="s">
        <v>4</v>
      </c>
      <c r="H32" t="str" cm="1">
        <f t="array" ref="H32">_xlfn.IFS(
OR(G32="Abuja",G32="Fct",G32="Abj"),"Abuja Municipal",
G32="Lagos","Ikeja",
G32="Oyo","Ibadan",
G32="Kano","Kano Municipal",
G32="Enugu","Enugu North",
G32="Rivers","Port Harcourt"
)</f>
        <v>Enugu North</v>
      </c>
      <c r="I32" t="s">
        <v>5</v>
      </c>
      <c r="J32" t="s">
        <v>6</v>
      </c>
      <c r="K32" t="s">
        <v>7</v>
      </c>
      <c r="L32" t="s">
        <v>32</v>
      </c>
      <c r="M32" t="s">
        <v>18</v>
      </c>
      <c r="N32" t="s">
        <v>9</v>
      </c>
      <c r="O32">
        <v>2</v>
      </c>
      <c r="P32">
        <v>45000</v>
      </c>
      <c r="Q32">
        <v>90000</v>
      </c>
      <c r="R32">
        <v>0</v>
      </c>
      <c r="S32">
        <v>0</v>
      </c>
      <c r="T32">
        <v>1500</v>
      </c>
      <c r="U32">
        <v>2800</v>
      </c>
      <c r="V32">
        <v>1350</v>
      </c>
      <c r="W32">
        <v>90000</v>
      </c>
      <c r="X32">
        <v>63000</v>
      </c>
      <c r="Y32">
        <v>24350</v>
      </c>
      <c r="Z32">
        <f t="shared" si="0"/>
        <v>2025</v>
      </c>
      <c r="AA32" t="str">
        <f t="shared" si="1"/>
        <v>October</v>
      </c>
      <c r="AB32">
        <f t="shared" si="2"/>
        <v>10</v>
      </c>
      <c r="AC32" t="str">
        <f t="shared" si="3"/>
        <v>Q4</v>
      </c>
    </row>
    <row r="33" spans="1:29" x14ac:dyDescent="0.35">
      <c r="A33" t="s">
        <v>84</v>
      </c>
      <c r="B33" s="3">
        <v>45907</v>
      </c>
      <c r="C33" s="3">
        <v>45914</v>
      </c>
      <c r="D33" t="s">
        <v>38</v>
      </c>
      <c r="E33" t="s">
        <v>2</v>
      </c>
      <c r="F33" t="s">
        <v>44</v>
      </c>
      <c r="G33" t="s">
        <v>14</v>
      </c>
      <c r="H33" t="str" cm="1">
        <f t="array" ref="H33">_xlfn.IFS(
OR(G33="Abuja",G33="Fct",G33="Abj"),"Abuja Municipal",
G33="Lagos","Ikeja",
G33="Oyo","Ibadan",
G33="Kano","Kano Municipal",
G33="Enugu","Enugu North",
G33="Rivers","Port Harcourt"
)</f>
        <v>Ibadan</v>
      </c>
      <c r="I33" t="s">
        <v>5</v>
      </c>
      <c r="J33" t="s">
        <v>6</v>
      </c>
      <c r="K33" t="s">
        <v>7</v>
      </c>
      <c r="L33" t="s">
        <v>28</v>
      </c>
      <c r="M33" t="s">
        <v>18</v>
      </c>
      <c r="N33" t="s">
        <v>36</v>
      </c>
      <c r="O33">
        <v>4</v>
      </c>
      <c r="P33">
        <v>120000</v>
      </c>
      <c r="Q33">
        <v>480000</v>
      </c>
      <c r="R33">
        <v>0.05</v>
      </c>
      <c r="S33">
        <v>24000</v>
      </c>
      <c r="T33">
        <v>2000</v>
      </c>
      <c r="U33">
        <v>1500</v>
      </c>
      <c r="V33">
        <v>7200</v>
      </c>
      <c r="W33">
        <v>456000</v>
      </c>
      <c r="X33">
        <v>319200</v>
      </c>
      <c r="Y33">
        <v>130100</v>
      </c>
      <c r="Z33">
        <f t="shared" si="0"/>
        <v>2025</v>
      </c>
      <c r="AA33" t="str">
        <f t="shared" si="1"/>
        <v>September</v>
      </c>
      <c r="AB33">
        <f t="shared" si="2"/>
        <v>9</v>
      </c>
      <c r="AC33" t="str">
        <f t="shared" si="3"/>
        <v>Q3</v>
      </c>
    </row>
    <row r="34" spans="1:29" x14ac:dyDescent="0.35">
      <c r="A34" t="s">
        <v>85</v>
      </c>
      <c r="B34" s="3">
        <v>45693</v>
      </c>
      <c r="C34" s="3">
        <v>45698</v>
      </c>
      <c r="D34" t="s">
        <v>1</v>
      </c>
      <c r="E34" t="s">
        <v>52</v>
      </c>
      <c r="F34" t="s">
        <v>13</v>
      </c>
      <c r="G34" t="s">
        <v>35</v>
      </c>
      <c r="H34" t="str" cm="1">
        <f t="array" ref="H34">_xlfn.IFS(
OR(G34="Abuja",G34="Fct",G34="Abj"),"Abuja Municipal",
G34="Lagos","Ikeja",
G34="Oyo","Ibadan",
G34="Kano","Kano Municipal",
G34="Enugu","Enugu North",
G34="Rivers","Port Harcourt"
)</f>
        <v>Abuja Municipal</v>
      </c>
      <c r="I34" t="s">
        <v>86</v>
      </c>
      <c r="J34" t="s">
        <v>87</v>
      </c>
      <c r="K34" t="s">
        <v>23</v>
      </c>
      <c r="L34" t="s">
        <v>32</v>
      </c>
      <c r="M34" t="s">
        <v>303</v>
      </c>
      <c r="N34" t="s">
        <v>9</v>
      </c>
      <c r="O34">
        <v>4</v>
      </c>
      <c r="P34">
        <v>25500</v>
      </c>
      <c r="Q34">
        <v>102000</v>
      </c>
      <c r="R34">
        <v>0</v>
      </c>
      <c r="S34">
        <v>0</v>
      </c>
      <c r="T34">
        <v>2000</v>
      </c>
      <c r="U34">
        <v>2800</v>
      </c>
      <c r="V34">
        <v>1530</v>
      </c>
      <c r="W34">
        <v>102000</v>
      </c>
      <c r="X34">
        <v>56100</v>
      </c>
      <c r="Y34">
        <v>43570</v>
      </c>
      <c r="Z34">
        <f t="shared" si="0"/>
        <v>2025</v>
      </c>
      <c r="AA34" t="str">
        <f t="shared" si="1"/>
        <v>February</v>
      </c>
      <c r="AB34">
        <f t="shared" si="2"/>
        <v>2</v>
      </c>
      <c r="AC34" t="str">
        <f t="shared" si="3"/>
        <v>Q1</v>
      </c>
    </row>
    <row r="35" spans="1:29" x14ac:dyDescent="0.35">
      <c r="A35" t="s">
        <v>88</v>
      </c>
      <c r="B35" s="3">
        <v>45896</v>
      </c>
      <c r="C35" s="3">
        <v>45899</v>
      </c>
      <c r="D35" t="s">
        <v>26</v>
      </c>
      <c r="E35" t="s">
        <v>55</v>
      </c>
      <c r="F35" t="s">
        <v>13</v>
      </c>
      <c r="G35" t="s">
        <v>35</v>
      </c>
      <c r="H35" t="str" cm="1">
        <f t="array" ref="H35">_xlfn.IFS(
OR(G35="Abuja",G35="Fct",G35="Abj"),"Abuja Municipal",
G35="Lagos","Ikeja",
G35="Oyo","Ibadan",
G35="Kano","Kano Municipal",
G35="Enugu","Enugu North",
G35="Rivers","Port Harcourt"
)</f>
        <v>Abuja Municipal</v>
      </c>
      <c r="I35" t="s">
        <v>40</v>
      </c>
      <c r="J35" t="s">
        <v>41</v>
      </c>
      <c r="K35" t="s">
        <v>42</v>
      </c>
      <c r="L35" t="s">
        <v>32</v>
      </c>
      <c r="M35" t="s">
        <v>18</v>
      </c>
      <c r="N35" t="s">
        <v>36</v>
      </c>
      <c r="O35">
        <v>3</v>
      </c>
      <c r="P35">
        <v>32000</v>
      </c>
      <c r="Q35">
        <v>96000</v>
      </c>
      <c r="R35">
        <v>0.15</v>
      </c>
      <c r="S35">
        <v>14400</v>
      </c>
      <c r="T35">
        <v>2000</v>
      </c>
      <c r="U35">
        <v>1800</v>
      </c>
      <c r="V35">
        <v>1440</v>
      </c>
      <c r="W35">
        <v>81600</v>
      </c>
      <c r="X35">
        <v>53040</v>
      </c>
      <c r="Y35">
        <v>27320</v>
      </c>
      <c r="Z35">
        <f t="shared" si="0"/>
        <v>2025</v>
      </c>
      <c r="AA35" t="str">
        <f t="shared" si="1"/>
        <v>August</v>
      </c>
      <c r="AB35">
        <f t="shared" si="2"/>
        <v>8</v>
      </c>
      <c r="AC35" t="str">
        <f t="shared" si="3"/>
        <v>Q3</v>
      </c>
    </row>
    <row r="36" spans="1:29" x14ac:dyDescent="0.35">
      <c r="A36" t="s">
        <v>89</v>
      </c>
      <c r="B36" s="3">
        <v>45805</v>
      </c>
      <c r="C36" s="3">
        <v>45810</v>
      </c>
      <c r="D36" t="s">
        <v>75</v>
      </c>
      <c r="E36" t="s">
        <v>30</v>
      </c>
      <c r="F36" t="s">
        <v>44</v>
      </c>
      <c r="G36" t="s">
        <v>35</v>
      </c>
      <c r="H36" t="str" cm="1">
        <f t="array" ref="H36">_xlfn.IFS(
OR(G36="Abuja",G36="Fct",G36="Abj"),"Abuja Municipal",
G36="Lagos","Ikeja",
G36="Oyo","Ibadan",
G36="Kano","Kano Municipal",
G36="Enugu","Enugu North",
G36="Rivers","Port Harcourt"
)</f>
        <v>Abuja Municipal</v>
      </c>
      <c r="I36" t="s">
        <v>49</v>
      </c>
      <c r="J36" t="s">
        <v>50</v>
      </c>
      <c r="K36" t="s">
        <v>42</v>
      </c>
      <c r="L36" t="s">
        <v>8</v>
      </c>
      <c r="M36" t="s">
        <v>303</v>
      </c>
      <c r="N36" t="s">
        <v>9</v>
      </c>
      <c r="O36">
        <v>3</v>
      </c>
      <c r="P36">
        <v>32000</v>
      </c>
      <c r="Q36">
        <v>96000</v>
      </c>
      <c r="R36">
        <v>0</v>
      </c>
      <c r="S36">
        <v>0</v>
      </c>
      <c r="T36">
        <v>3500</v>
      </c>
      <c r="U36">
        <v>1500</v>
      </c>
      <c r="V36">
        <v>1440</v>
      </c>
      <c r="W36">
        <v>96000</v>
      </c>
      <c r="X36">
        <v>52800</v>
      </c>
      <c r="Y36">
        <v>43760</v>
      </c>
      <c r="Z36">
        <f t="shared" si="0"/>
        <v>2025</v>
      </c>
      <c r="AA36" t="str">
        <f t="shared" si="1"/>
        <v>May</v>
      </c>
      <c r="AB36">
        <f t="shared" si="2"/>
        <v>5</v>
      </c>
      <c r="AC36" t="str">
        <f t="shared" si="3"/>
        <v>Q2</v>
      </c>
    </row>
    <row r="37" spans="1:29" x14ac:dyDescent="0.35">
      <c r="A37" t="s">
        <v>90</v>
      </c>
      <c r="B37" s="3">
        <v>45884</v>
      </c>
      <c r="C37" s="3">
        <v>45886</v>
      </c>
      <c r="D37" t="s">
        <v>1</v>
      </c>
      <c r="E37" t="s">
        <v>34</v>
      </c>
      <c r="F37" t="s">
        <v>44</v>
      </c>
      <c r="G37" t="s">
        <v>4</v>
      </c>
      <c r="H37" t="str" cm="1">
        <f t="array" ref="H37">_xlfn.IFS(
OR(G37="Abuja",G37="Fct",G37="Abj"),"Abuja Municipal",
G37="Lagos","Ikeja",
G37="Oyo","Ibadan",
G37="Kano","Kano Municipal",
G37="Enugu","Enugu North",
G37="Rivers","Port Harcourt"
)</f>
        <v>Enugu North</v>
      </c>
      <c r="I37" t="s">
        <v>5</v>
      </c>
      <c r="J37" t="s">
        <v>6</v>
      </c>
      <c r="K37" t="s">
        <v>7</v>
      </c>
      <c r="L37" t="s">
        <v>8</v>
      </c>
      <c r="M37" t="s">
        <v>303</v>
      </c>
      <c r="N37" t="s">
        <v>9</v>
      </c>
      <c r="O37">
        <v>4</v>
      </c>
      <c r="P37">
        <v>15000</v>
      </c>
      <c r="Q37">
        <v>60000</v>
      </c>
      <c r="R37">
        <v>0.15</v>
      </c>
      <c r="S37">
        <v>9000</v>
      </c>
      <c r="T37">
        <v>3000</v>
      </c>
      <c r="U37">
        <v>2800</v>
      </c>
      <c r="V37">
        <v>900</v>
      </c>
      <c r="W37">
        <v>51000</v>
      </c>
      <c r="X37">
        <v>33150</v>
      </c>
      <c r="Y37">
        <v>17150</v>
      </c>
      <c r="Z37">
        <f t="shared" si="0"/>
        <v>2025</v>
      </c>
      <c r="AA37" t="str">
        <f t="shared" si="1"/>
        <v>August</v>
      </c>
      <c r="AB37">
        <f t="shared" si="2"/>
        <v>8</v>
      </c>
      <c r="AC37" t="str">
        <f t="shared" si="3"/>
        <v>Q3</v>
      </c>
    </row>
    <row r="38" spans="1:29" x14ac:dyDescent="0.35">
      <c r="A38" t="s">
        <v>91</v>
      </c>
      <c r="B38" s="3">
        <v>45901</v>
      </c>
      <c r="C38" s="3">
        <v>45902</v>
      </c>
      <c r="D38" t="s">
        <v>65</v>
      </c>
      <c r="E38" t="s">
        <v>12</v>
      </c>
      <c r="F38" t="s">
        <v>44</v>
      </c>
      <c r="G38" t="s">
        <v>14</v>
      </c>
      <c r="H38" t="str" cm="1">
        <f t="array" ref="H38">_xlfn.IFS(
OR(G38="Abuja",G38="Fct",G38="Abj"),"Abuja Municipal",
G38="Lagos","Ikeja",
G38="Oyo","Ibadan",
G38="Kano","Kano Municipal",
G38="Enugu","Enugu North",
G38="Rivers","Port Harcourt"
)</f>
        <v>Ibadan</v>
      </c>
      <c r="I38" t="s">
        <v>49</v>
      </c>
      <c r="J38" t="s">
        <v>50</v>
      </c>
      <c r="K38" t="s">
        <v>42</v>
      </c>
      <c r="L38" t="s">
        <v>8</v>
      </c>
      <c r="M38" t="s">
        <v>18</v>
      </c>
      <c r="N38" t="s">
        <v>9</v>
      </c>
      <c r="O38">
        <v>4</v>
      </c>
      <c r="P38">
        <v>120000</v>
      </c>
      <c r="Q38">
        <v>480000</v>
      </c>
      <c r="R38">
        <v>0.15</v>
      </c>
      <c r="S38">
        <v>72000</v>
      </c>
      <c r="T38">
        <v>3000</v>
      </c>
      <c r="U38">
        <v>1000</v>
      </c>
      <c r="V38">
        <v>7200</v>
      </c>
      <c r="W38">
        <v>408000</v>
      </c>
      <c r="X38">
        <v>285600</v>
      </c>
      <c r="Y38">
        <v>117200</v>
      </c>
      <c r="Z38">
        <f t="shared" si="0"/>
        <v>2025</v>
      </c>
      <c r="AA38" t="str">
        <f t="shared" si="1"/>
        <v>September</v>
      </c>
      <c r="AB38">
        <f t="shared" si="2"/>
        <v>9</v>
      </c>
      <c r="AC38" t="str">
        <f t="shared" si="3"/>
        <v>Q3</v>
      </c>
    </row>
    <row r="39" spans="1:29" x14ac:dyDescent="0.35">
      <c r="A39" t="s">
        <v>92</v>
      </c>
      <c r="B39" s="3">
        <v>45994</v>
      </c>
      <c r="C39" s="3">
        <v>45997</v>
      </c>
      <c r="D39" t="s">
        <v>11</v>
      </c>
      <c r="E39" t="s">
        <v>34</v>
      </c>
      <c r="F39" t="s">
        <v>44</v>
      </c>
      <c r="G39" t="s">
        <v>31</v>
      </c>
      <c r="H39" t="str" cm="1">
        <f t="array" ref="H39">_xlfn.IFS(
OR(G39="Abuja",G39="Fct",G39="Abj"),"Abuja Municipal",
G39="Lagos","Ikeja",
G39="Oyo","Ibadan",
G39="Kano","Kano Municipal",
G39="Enugu","Enugu North",
G39="Rivers","Port Harcourt"
)</f>
        <v>Kano Municipal</v>
      </c>
      <c r="I39" t="s">
        <v>5</v>
      </c>
      <c r="J39" t="s">
        <v>6</v>
      </c>
      <c r="K39" t="s">
        <v>7</v>
      </c>
      <c r="L39" t="s">
        <v>8</v>
      </c>
      <c r="M39" t="s">
        <v>18</v>
      </c>
      <c r="N39" t="s">
        <v>9</v>
      </c>
      <c r="O39">
        <v>2</v>
      </c>
      <c r="P39">
        <v>120000</v>
      </c>
      <c r="Q39">
        <v>240000</v>
      </c>
      <c r="R39">
        <v>0.1</v>
      </c>
      <c r="S39">
        <v>24000</v>
      </c>
      <c r="T39">
        <v>2500</v>
      </c>
      <c r="U39">
        <v>1800</v>
      </c>
      <c r="V39">
        <v>3600</v>
      </c>
      <c r="W39">
        <v>216000</v>
      </c>
      <c r="X39">
        <v>118800</v>
      </c>
      <c r="Y39">
        <v>94300</v>
      </c>
      <c r="Z39">
        <f t="shared" si="0"/>
        <v>2025</v>
      </c>
      <c r="AA39" t="str">
        <f t="shared" si="1"/>
        <v>December</v>
      </c>
      <c r="AB39">
        <f t="shared" si="2"/>
        <v>12</v>
      </c>
      <c r="AC39" t="str">
        <f t="shared" si="3"/>
        <v>Q4</v>
      </c>
    </row>
    <row r="40" spans="1:29" x14ac:dyDescent="0.35">
      <c r="A40" t="s">
        <v>93</v>
      </c>
      <c r="B40" s="3">
        <v>46022</v>
      </c>
      <c r="C40" s="3">
        <v>46029</v>
      </c>
      <c r="D40" t="s">
        <v>75</v>
      </c>
      <c r="E40" t="s">
        <v>34</v>
      </c>
      <c r="F40" t="s">
        <v>44</v>
      </c>
      <c r="G40" t="s">
        <v>35</v>
      </c>
      <c r="H40" t="str" cm="1">
        <f t="array" ref="H40">_xlfn.IFS(
OR(G40="Abuja",G40="Fct",G40="Abj"),"Abuja Municipal",
G40="Lagos","Ikeja",
G40="Oyo","Ibadan",
G40="Kano","Kano Municipal",
G40="Enugu","Enugu North",
G40="Rivers","Port Harcourt"
)</f>
        <v>Abuja Municipal</v>
      </c>
      <c r="I40" t="s">
        <v>15</v>
      </c>
      <c r="J40" t="s">
        <v>16</v>
      </c>
      <c r="K40" t="s">
        <v>17</v>
      </c>
      <c r="L40" t="s">
        <v>8</v>
      </c>
      <c r="M40" t="s">
        <v>24</v>
      </c>
      <c r="N40" t="s">
        <v>46</v>
      </c>
      <c r="O40">
        <v>2</v>
      </c>
      <c r="P40">
        <v>25500</v>
      </c>
      <c r="Q40">
        <v>51000</v>
      </c>
      <c r="R40">
        <v>0.2</v>
      </c>
      <c r="S40">
        <v>10200</v>
      </c>
      <c r="T40">
        <v>2000</v>
      </c>
      <c r="U40">
        <v>1800</v>
      </c>
      <c r="V40">
        <v>765</v>
      </c>
      <c r="W40">
        <v>40800</v>
      </c>
      <c r="X40">
        <v>26520</v>
      </c>
      <c r="Y40">
        <v>13715</v>
      </c>
      <c r="Z40">
        <f t="shared" si="0"/>
        <v>2025</v>
      </c>
      <c r="AA40" t="str">
        <f t="shared" si="1"/>
        <v>December</v>
      </c>
      <c r="AB40">
        <f t="shared" si="2"/>
        <v>12</v>
      </c>
      <c r="AC40" t="str">
        <f t="shared" si="3"/>
        <v>Q4</v>
      </c>
    </row>
    <row r="41" spans="1:29" x14ac:dyDescent="0.35">
      <c r="A41" t="s">
        <v>94</v>
      </c>
      <c r="B41" s="3">
        <v>45858</v>
      </c>
      <c r="C41" s="3">
        <v>45865</v>
      </c>
      <c r="D41" t="s">
        <v>65</v>
      </c>
      <c r="E41" t="s">
        <v>55</v>
      </c>
      <c r="F41" t="s">
        <v>3</v>
      </c>
      <c r="G41" t="s">
        <v>31</v>
      </c>
      <c r="H41" t="str" cm="1">
        <f t="array" ref="H41">_xlfn.IFS(
OR(G41="Abuja",G41="Fct",G41="Abj"),"Abuja Municipal",
G41="Lagos","Ikeja",
G41="Oyo","Ibadan",
G41="Kano","Kano Municipal",
G41="Enugu","Enugu North",
G41="Rivers","Port Harcourt"
)</f>
        <v>Kano Municipal</v>
      </c>
      <c r="I41" t="s">
        <v>40</v>
      </c>
      <c r="J41" t="s">
        <v>41</v>
      </c>
      <c r="K41" t="s">
        <v>42</v>
      </c>
      <c r="L41" t="s">
        <v>8</v>
      </c>
      <c r="M41" t="s">
        <v>18</v>
      </c>
      <c r="N41" t="s">
        <v>9</v>
      </c>
      <c r="O41">
        <v>3</v>
      </c>
      <c r="P41">
        <v>25500</v>
      </c>
      <c r="Q41">
        <v>76500</v>
      </c>
      <c r="R41">
        <v>0.15</v>
      </c>
      <c r="S41">
        <v>11475</v>
      </c>
      <c r="T41">
        <v>3500</v>
      </c>
      <c r="U41">
        <v>1000</v>
      </c>
      <c r="V41">
        <v>1147.5</v>
      </c>
      <c r="W41">
        <v>65025</v>
      </c>
      <c r="X41">
        <v>39015</v>
      </c>
      <c r="Y41">
        <v>27362.5</v>
      </c>
      <c r="Z41">
        <f t="shared" si="0"/>
        <v>2025</v>
      </c>
      <c r="AA41" t="str">
        <f t="shared" si="1"/>
        <v>July</v>
      </c>
      <c r="AB41">
        <f t="shared" si="2"/>
        <v>7</v>
      </c>
      <c r="AC41" t="str">
        <f t="shared" si="3"/>
        <v>Q3</v>
      </c>
    </row>
    <row r="42" spans="1:29" x14ac:dyDescent="0.35">
      <c r="A42" t="s">
        <v>95</v>
      </c>
      <c r="B42" s="3">
        <v>45811</v>
      </c>
      <c r="C42" s="3">
        <v>45813</v>
      </c>
      <c r="D42" t="s">
        <v>33</v>
      </c>
      <c r="E42" t="s">
        <v>52</v>
      </c>
      <c r="F42" t="s">
        <v>44</v>
      </c>
      <c r="G42" t="s">
        <v>53</v>
      </c>
      <c r="H42" t="str" cm="1">
        <f t="array" ref="H42">_xlfn.IFS(
OR(G42="Abuja",G42="Fct",G42="Abj"),"Abuja Municipal",
G42="Lagos","Ikeja",
G42="Oyo","Ibadan",
G42="Kano","Kano Municipal",
G42="Enugu","Enugu North",
G42="Rivers","Port Harcourt"
)</f>
        <v>Ikeja</v>
      </c>
      <c r="I42" t="s">
        <v>40</v>
      </c>
      <c r="J42" t="s">
        <v>41</v>
      </c>
      <c r="K42" t="s">
        <v>42</v>
      </c>
      <c r="L42" t="s">
        <v>8</v>
      </c>
      <c r="M42" t="s">
        <v>24</v>
      </c>
      <c r="N42" t="s">
        <v>9</v>
      </c>
      <c r="O42">
        <v>1</v>
      </c>
      <c r="P42">
        <v>120000</v>
      </c>
      <c r="Q42">
        <v>120000</v>
      </c>
      <c r="R42">
        <v>0.1</v>
      </c>
      <c r="S42">
        <v>12000</v>
      </c>
      <c r="T42">
        <v>3500</v>
      </c>
      <c r="U42">
        <v>2800</v>
      </c>
      <c r="V42">
        <v>1800</v>
      </c>
      <c r="W42">
        <v>108000</v>
      </c>
      <c r="X42">
        <v>70200</v>
      </c>
      <c r="Y42">
        <v>36700</v>
      </c>
      <c r="Z42">
        <f t="shared" si="0"/>
        <v>2025</v>
      </c>
      <c r="AA42" t="str">
        <f t="shared" si="1"/>
        <v>June</v>
      </c>
      <c r="AB42">
        <f t="shared" si="2"/>
        <v>6</v>
      </c>
      <c r="AC42" t="str">
        <f t="shared" si="3"/>
        <v>Q2</v>
      </c>
    </row>
    <row r="43" spans="1:29" x14ac:dyDescent="0.35">
      <c r="A43" t="s">
        <v>96</v>
      </c>
      <c r="B43" s="3">
        <v>45730</v>
      </c>
      <c r="C43" s="3">
        <v>45732</v>
      </c>
      <c r="D43" t="s">
        <v>75</v>
      </c>
      <c r="E43" t="s">
        <v>12</v>
      </c>
      <c r="F43" t="s">
        <v>44</v>
      </c>
      <c r="G43" t="s">
        <v>35</v>
      </c>
      <c r="H43" t="str" cm="1">
        <f t="array" ref="H43">_xlfn.IFS(
OR(G43="Abuja",G43="Fct",G43="Abj"),"Abuja Municipal",
G43="Lagos","Ikeja",
G43="Oyo","Ibadan",
G43="Kano","Kano Municipal",
G43="Enugu","Enugu North",
G43="Rivers","Port Harcourt"
)</f>
        <v>Abuja Municipal</v>
      </c>
      <c r="I43" t="s">
        <v>21</v>
      </c>
      <c r="J43" t="s">
        <v>22</v>
      </c>
      <c r="K43" t="s">
        <v>23</v>
      </c>
      <c r="L43" t="s">
        <v>8</v>
      </c>
      <c r="M43" t="s">
        <v>303</v>
      </c>
      <c r="N43" t="s">
        <v>9</v>
      </c>
      <c r="O43">
        <v>4</v>
      </c>
      <c r="P43">
        <v>18500</v>
      </c>
      <c r="Q43">
        <v>74000</v>
      </c>
      <c r="R43">
        <v>0.2</v>
      </c>
      <c r="S43">
        <v>14800</v>
      </c>
      <c r="T43">
        <v>3000</v>
      </c>
      <c r="U43">
        <v>2200</v>
      </c>
      <c r="V43">
        <v>1110</v>
      </c>
      <c r="W43">
        <v>59200</v>
      </c>
      <c r="X43">
        <v>32560</v>
      </c>
      <c r="Y43">
        <v>26330</v>
      </c>
      <c r="Z43">
        <f t="shared" si="0"/>
        <v>2025</v>
      </c>
      <c r="AA43" t="str">
        <f t="shared" si="1"/>
        <v>March</v>
      </c>
      <c r="AB43">
        <f t="shared" si="2"/>
        <v>3</v>
      </c>
      <c r="AC43" t="str">
        <f t="shared" si="3"/>
        <v>Q1</v>
      </c>
    </row>
    <row r="44" spans="1:29" x14ac:dyDescent="0.35">
      <c r="A44" t="s">
        <v>97</v>
      </c>
      <c r="B44" s="3">
        <v>45858</v>
      </c>
      <c r="C44" s="3">
        <v>45861</v>
      </c>
      <c r="D44" t="s">
        <v>33</v>
      </c>
      <c r="E44" t="s">
        <v>55</v>
      </c>
      <c r="F44" t="s">
        <v>13</v>
      </c>
      <c r="G44" t="s">
        <v>35</v>
      </c>
      <c r="H44" t="str" cm="1">
        <f t="array" ref="H44">_xlfn.IFS(
OR(G44="Abuja",G44="Fct",G44="Abj"),"Abuja Municipal",
G44="Lagos","Ikeja",
G44="Oyo","Ibadan",
G44="Kano","Kano Municipal",
G44="Enugu","Enugu North",
G44="Rivers","Port Harcourt"
)</f>
        <v>Abuja Municipal</v>
      </c>
      <c r="I44" t="s">
        <v>86</v>
      </c>
      <c r="J44" t="s">
        <v>87</v>
      </c>
      <c r="K44" t="s">
        <v>23</v>
      </c>
      <c r="L44" t="s">
        <v>28</v>
      </c>
      <c r="M44" t="s">
        <v>303</v>
      </c>
      <c r="N44" t="s">
        <v>9</v>
      </c>
      <c r="O44">
        <v>2</v>
      </c>
      <c r="P44">
        <v>32000</v>
      </c>
      <c r="Q44">
        <v>64000</v>
      </c>
      <c r="R44">
        <v>0.15</v>
      </c>
      <c r="S44">
        <v>9600</v>
      </c>
      <c r="T44">
        <v>2000</v>
      </c>
      <c r="U44">
        <v>1000</v>
      </c>
      <c r="V44">
        <v>960</v>
      </c>
      <c r="W44">
        <v>54400</v>
      </c>
      <c r="X44">
        <v>32640</v>
      </c>
      <c r="Y44">
        <v>21800</v>
      </c>
      <c r="Z44">
        <f t="shared" si="0"/>
        <v>2025</v>
      </c>
      <c r="AA44" t="str">
        <f t="shared" si="1"/>
        <v>July</v>
      </c>
      <c r="AB44">
        <f t="shared" si="2"/>
        <v>7</v>
      </c>
      <c r="AC44" t="str">
        <f t="shared" si="3"/>
        <v>Q3</v>
      </c>
    </row>
    <row r="45" spans="1:29" x14ac:dyDescent="0.35">
      <c r="A45" t="s">
        <v>98</v>
      </c>
      <c r="B45" s="3">
        <v>45953</v>
      </c>
      <c r="C45" s="3">
        <v>45958</v>
      </c>
      <c r="D45" t="s">
        <v>26</v>
      </c>
      <c r="E45" t="s">
        <v>2</v>
      </c>
      <c r="F45" t="s">
        <v>44</v>
      </c>
      <c r="G45" t="s">
        <v>27</v>
      </c>
      <c r="H45" t="str" cm="1">
        <f t="array" ref="H45">_xlfn.IFS(
OR(G45="Abuja",G45="Fct",G45="Abj"),"Abuja Municipal",
G45="Lagos","Ikeja",
G45="Oyo","Ibadan",
G45="Kano","Kano Municipal",
G45="Enugu","Enugu North",
G45="Rivers","Port Harcourt"
)</f>
        <v>Port Harcourt</v>
      </c>
      <c r="I45" t="s">
        <v>21</v>
      </c>
      <c r="J45" t="s">
        <v>22</v>
      </c>
      <c r="K45" t="s">
        <v>23</v>
      </c>
      <c r="L45" t="s">
        <v>32</v>
      </c>
      <c r="M45" t="s">
        <v>18</v>
      </c>
      <c r="N45" t="s">
        <v>9</v>
      </c>
      <c r="O45">
        <v>3</v>
      </c>
      <c r="P45">
        <v>78000</v>
      </c>
      <c r="Q45">
        <v>234000</v>
      </c>
      <c r="R45">
        <v>0.15</v>
      </c>
      <c r="S45">
        <v>35100</v>
      </c>
      <c r="T45">
        <v>2500</v>
      </c>
      <c r="U45">
        <v>2800</v>
      </c>
      <c r="V45">
        <v>3510</v>
      </c>
      <c r="W45">
        <v>198900</v>
      </c>
      <c r="X45">
        <v>129285</v>
      </c>
      <c r="Y45">
        <v>65805</v>
      </c>
      <c r="Z45">
        <f t="shared" si="0"/>
        <v>2025</v>
      </c>
      <c r="AA45" t="str">
        <f t="shared" si="1"/>
        <v>October</v>
      </c>
      <c r="AB45">
        <f t="shared" si="2"/>
        <v>10</v>
      </c>
      <c r="AC45" t="str">
        <f t="shared" si="3"/>
        <v>Q4</v>
      </c>
    </row>
    <row r="46" spans="1:29" x14ac:dyDescent="0.35">
      <c r="A46" t="s">
        <v>99</v>
      </c>
      <c r="B46" s="3">
        <v>45674</v>
      </c>
      <c r="C46" s="3">
        <v>45680</v>
      </c>
      <c r="D46" t="s">
        <v>65</v>
      </c>
      <c r="E46" t="s">
        <v>30</v>
      </c>
      <c r="F46" t="s">
        <v>3</v>
      </c>
      <c r="G46" t="s">
        <v>35</v>
      </c>
      <c r="H46" t="str" cm="1">
        <f t="array" ref="H46">_xlfn.IFS(
OR(G46="Abuja",G46="Fct",G46="Abj"),"Abuja Municipal",
G46="Lagos","Ikeja",
G46="Oyo","Ibadan",
G46="Kano","Kano Municipal",
G46="Enugu","Enugu North",
G46="Rivers","Port Harcourt"
)</f>
        <v>Abuja Municipal</v>
      </c>
      <c r="I46" t="s">
        <v>21</v>
      </c>
      <c r="J46" t="s">
        <v>22</v>
      </c>
      <c r="K46" t="s">
        <v>23</v>
      </c>
      <c r="L46" t="s">
        <v>8</v>
      </c>
      <c r="M46" t="s">
        <v>18</v>
      </c>
      <c r="N46" t="s">
        <v>9</v>
      </c>
      <c r="O46">
        <v>2</v>
      </c>
      <c r="P46">
        <v>25500</v>
      </c>
      <c r="Q46">
        <v>51000</v>
      </c>
      <c r="R46">
        <v>0</v>
      </c>
      <c r="S46">
        <v>0</v>
      </c>
      <c r="T46">
        <v>2000</v>
      </c>
      <c r="U46">
        <v>1000</v>
      </c>
      <c r="V46">
        <v>765</v>
      </c>
      <c r="W46">
        <v>51000</v>
      </c>
      <c r="X46">
        <v>33150</v>
      </c>
      <c r="Y46">
        <v>18085</v>
      </c>
      <c r="Z46">
        <f t="shared" si="0"/>
        <v>2025</v>
      </c>
      <c r="AA46" t="str">
        <f t="shared" si="1"/>
        <v>January</v>
      </c>
      <c r="AB46">
        <f t="shared" si="2"/>
        <v>1</v>
      </c>
      <c r="AC46" t="str">
        <f t="shared" si="3"/>
        <v>Q1</v>
      </c>
    </row>
    <row r="47" spans="1:29" x14ac:dyDescent="0.35">
      <c r="A47" t="s">
        <v>100</v>
      </c>
      <c r="B47" s="3">
        <v>45786</v>
      </c>
      <c r="C47" s="3">
        <v>45793</v>
      </c>
      <c r="D47" t="s">
        <v>11</v>
      </c>
      <c r="E47" t="s">
        <v>39</v>
      </c>
      <c r="F47" t="s">
        <v>44</v>
      </c>
      <c r="G47" t="s">
        <v>35</v>
      </c>
      <c r="H47" t="str" cm="1">
        <f t="array" ref="H47">_xlfn.IFS(
OR(G47="Abuja",G47="Fct",G47="Abj"),"Abuja Municipal",
G47="Lagos","Ikeja",
G47="Oyo","Ibadan",
G47="Kano","Kano Municipal",
G47="Enugu","Enugu North",
G47="Rivers","Port Harcourt"
)</f>
        <v>Abuja Municipal</v>
      </c>
      <c r="I47" t="s">
        <v>21</v>
      </c>
      <c r="J47" t="s">
        <v>22</v>
      </c>
      <c r="K47" t="s">
        <v>23</v>
      </c>
      <c r="L47" t="s">
        <v>8</v>
      </c>
      <c r="M47" t="s">
        <v>24</v>
      </c>
      <c r="N47" t="s">
        <v>9</v>
      </c>
      <c r="O47">
        <v>4</v>
      </c>
      <c r="P47">
        <v>15000</v>
      </c>
      <c r="Q47">
        <v>60000</v>
      </c>
      <c r="R47">
        <v>0</v>
      </c>
      <c r="S47">
        <v>0</v>
      </c>
      <c r="T47">
        <v>1500</v>
      </c>
      <c r="U47">
        <v>1000</v>
      </c>
      <c r="V47">
        <v>900</v>
      </c>
      <c r="W47">
        <v>60000</v>
      </c>
      <c r="X47">
        <v>39000</v>
      </c>
      <c r="Y47">
        <v>20600</v>
      </c>
      <c r="Z47">
        <f t="shared" si="0"/>
        <v>2025</v>
      </c>
      <c r="AA47" t="str">
        <f t="shared" si="1"/>
        <v>May</v>
      </c>
      <c r="AB47">
        <f t="shared" si="2"/>
        <v>5</v>
      </c>
      <c r="AC47" t="str">
        <f t="shared" si="3"/>
        <v>Q2</v>
      </c>
    </row>
    <row r="48" spans="1:29" x14ac:dyDescent="0.35">
      <c r="A48" t="s">
        <v>101</v>
      </c>
      <c r="B48" s="3">
        <v>45874</v>
      </c>
      <c r="C48" s="3">
        <v>45881</v>
      </c>
      <c r="D48" t="s">
        <v>1</v>
      </c>
      <c r="E48" t="s">
        <v>34</v>
      </c>
      <c r="F48" t="s">
        <v>44</v>
      </c>
      <c r="G48" t="s">
        <v>53</v>
      </c>
      <c r="H48" t="str" cm="1">
        <f t="array" ref="H48">_xlfn.IFS(
OR(G48="Abuja",G48="Fct",G48="Abj"),"Abuja Municipal",
G48="Lagos","Ikeja",
G48="Oyo","Ibadan",
G48="Kano","Kano Municipal",
G48="Enugu","Enugu North",
G48="Rivers","Port Harcourt"
)</f>
        <v>Ikeja</v>
      </c>
      <c r="I48" t="s">
        <v>21</v>
      </c>
      <c r="J48" t="s">
        <v>22</v>
      </c>
      <c r="K48" t="s">
        <v>23</v>
      </c>
      <c r="L48" t="s">
        <v>32</v>
      </c>
      <c r="M48" t="s">
        <v>18</v>
      </c>
      <c r="N48" t="s">
        <v>9</v>
      </c>
      <c r="O48">
        <v>4</v>
      </c>
      <c r="P48">
        <v>15000</v>
      </c>
      <c r="Q48">
        <v>60000</v>
      </c>
      <c r="R48">
        <v>0.2</v>
      </c>
      <c r="S48">
        <v>12000</v>
      </c>
      <c r="T48">
        <v>2000</v>
      </c>
      <c r="U48">
        <v>1500</v>
      </c>
      <c r="V48">
        <v>900</v>
      </c>
      <c r="W48">
        <v>48000</v>
      </c>
      <c r="X48">
        <v>31200</v>
      </c>
      <c r="Y48">
        <v>16400</v>
      </c>
      <c r="Z48">
        <f t="shared" si="0"/>
        <v>2025</v>
      </c>
      <c r="AA48" t="str">
        <f t="shared" si="1"/>
        <v>August</v>
      </c>
      <c r="AB48">
        <f t="shared" si="2"/>
        <v>8</v>
      </c>
      <c r="AC48" t="str">
        <f t="shared" si="3"/>
        <v>Q3</v>
      </c>
    </row>
    <row r="49" spans="1:29" x14ac:dyDescent="0.35">
      <c r="A49" t="s">
        <v>102</v>
      </c>
      <c r="B49" s="3">
        <v>45718</v>
      </c>
      <c r="C49" s="3">
        <v>45720</v>
      </c>
      <c r="D49" t="s">
        <v>20</v>
      </c>
      <c r="E49" t="s">
        <v>39</v>
      </c>
      <c r="F49" t="s">
        <v>44</v>
      </c>
      <c r="G49" t="s">
        <v>35</v>
      </c>
      <c r="H49" t="str" cm="1">
        <f t="array" ref="H49">_xlfn.IFS(
OR(G49="Abuja",G49="Fct",G49="Abj"),"Abuja Municipal",
G49="Lagos","Ikeja",
G49="Oyo","Ibadan",
G49="Kano","Kano Municipal",
G49="Enugu","Enugu North",
G49="Rivers","Port Harcourt"
)</f>
        <v>Abuja Municipal</v>
      </c>
      <c r="I49" t="s">
        <v>21</v>
      </c>
      <c r="J49" t="s">
        <v>22</v>
      </c>
      <c r="K49" t="s">
        <v>23</v>
      </c>
      <c r="L49" t="s">
        <v>28</v>
      </c>
      <c r="M49" t="s">
        <v>24</v>
      </c>
      <c r="N49" t="s">
        <v>9</v>
      </c>
      <c r="O49">
        <v>5</v>
      </c>
      <c r="P49">
        <v>25500</v>
      </c>
      <c r="Q49">
        <v>127500</v>
      </c>
      <c r="R49">
        <v>0.15</v>
      </c>
      <c r="S49">
        <v>19125</v>
      </c>
      <c r="T49">
        <v>1500</v>
      </c>
      <c r="U49">
        <v>2800</v>
      </c>
      <c r="V49">
        <v>1912.5</v>
      </c>
      <c r="W49">
        <v>108375</v>
      </c>
      <c r="X49">
        <v>70443.75</v>
      </c>
      <c r="Y49">
        <v>34718.75</v>
      </c>
      <c r="Z49">
        <f t="shared" si="0"/>
        <v>2025</v>
      </c>
      <c r="AA49" t="str">
        <f t="shared" si="1"/>
        <v>March</v>
      </c>
      <c r="AB49">
        <f t="shared" si="2"/>
        <v>3</v>
      </c>
      <c r="AC49" t="str">
        <f t="shared" si="3"/>
        <v>Q1</v>
      </c>
    </row>
    <row r="50" spans="1:29" x14ac:dyDescent="0.35">
      <c r="A50" t="s">
        <v>103</v>
      </c>
      <c r="B50" s="3">
        <v>45761</v>
      </c>
      <c r="C50" s="3">
        <v>45765</v>
      </c>
      <c r="D50" t="s">
        <v>38</v>
      </c>
      <c r="E50" t="s">
        <v>30</v>
      </c>
      <c r="F50" t="s">
        <v>3</v>
      </c>
      <c r="G50" t="s">
        <v>14</v>
      </c>
      <c r="H50" t="str" cm="1">
        <f t="array" ref="H50">_xlfn.IFS(
OR(G50="Abuja",G50="Fct",G50="Abj"),"Abuja Municipal",
G50="Lagos","Ikeja",
G50="Oyo","Ibadan",
G50="Kano","Kano Municipal",
G50="Enugu","Enugu North",
G50="Rivers","Port Harcourt"
)</f>
        <v>Ibadan</v>
      </c>
      <c r="I50" t="s">
        <v>56</v>
      </c>
      <c r="J50" t="s">
        <v>57</v>
      </c>
      <c r="K50" t="s">
        <v>17</v>
      </c>
      <c r="L50" t="s">
        <v>32</v>
      </c>
      <c r="M50" t="s">
        <v>18</v>
      </c>
      <c r="N50" t="s">
        <v>9</v>
      </c>
      <c r="O50">
        <v>1</v>
      </c>
      <c r="P50">
        <v>120000</v>
      </c>
      <c r="Q50">
        <v>120000</v>
      </c>
      <c r="R50">
        <v>0.05</v>
      </c>
      <c r="S50">
        <v>6000</v>
      </c>
      <c r="T50">
        <v>1500</v>
      </c>
      <c r="U50">
        <v>2200</v>
      </c>
      <c r="V50">
        <v>1800</v>
      </c>
      <c r="W50">
        <v>114000</v>
      </c>
      <c r="X50">
        <v>68400</v>
      </c>
      <c r="Y50">
        <v>43100</v>
      </c>
      <c r="Z50">
        <f t="shared" si="0"/>
        <v>2025</v>
      </c>
      <c r="AA50" t="str">
        <f t="shared" si="1"/>
        <v>April</v>
      </c>
      <c r="AB50">
        <f t="shared" si="2"/>
        <v>4</v>
      </c>
      <c r="AC50" t="str">
        <f t="shared" si="3"/>
        <v>Q2</v>
      </c>
    </row>
    <row r="51" spans="1:29" x14ac:dyDescent="0.35">
      <c r="A51" t="s">
        <v>104</v>
      </c>
      <c r="B51" s="3">
        <v>45699</v>
      </c>
      <c r="C51" s="3">
        <v>45701</v>
      </c>
      <c r="D51" t="s">
        <v>71</v>
      </c>
      <c r="E51" t="s">
        <v>30</v>
      </c>
      <c r="F51" t="s">
        <v>3</v>
      </c>
      <c r="G51" t="s">
        <v>14</v>
      </c>
      <c r="H51" t="str" cm="1">
        <f t="array" ref="H51">_xlfn.IFS(
OR(G51="Abuja",G51="Fct",G51="Abj"),"Abuja Municipal",
G51="Lagos","Ikeja",
G51="Oyo","Ibadan",
G51="Kano","Kano Municipal",
G51="Enugu","Enugu North",
G51="Rivers","Port Harcourt"
)</f>
        <v>Ibadan</v>
      </c>
      <c r="I51" t="s">
        <v>40</v>
      </c>
      <c r="J51" t="s">
        <v>41</v>
      </c>
      <c r="K51" t="s">
        <v>42</v>
      </c>
      <c r="L51" t="s">
        <v>32</v>
      </c>
      <c r="M51" t="s">
        <v>24</v>
      </c>
      <c r="N51" t="s">
        <v>9</v>
      </c>
      <c r="O51">
        <v>5</v>
      </c>
      <c r="P51">
        <v>45000</v>
      </c>
      <c r="Q51">
        <v>225000</v>
      </c>
      <c r="R51">
        <v>0</v>
      </c>
      <c r="S51">
        <v>0</v>
      </c>
      <c r="T51">
        <v>2500</v>
      </c>
      <c r="U51">
        <v>1500</v>
      </c>
      <c r="V51">
        <v>3375</v>
      </c>
      <c r="W51">
        <v>225000</v>
      </c>
      <c r="X51">
        <v>157500</v>
      </c>
      <c r="Y51">
        <v>65125</v>
      </c>
      <c r="Z51">
        <f t="shared" si="0"/>
        <v>2025</v>
      </c>
      <c r="AA51" t="str">
        <f t="shared" si="1"/>
        <v>February</v>
      </c>
      <c r="AB51">
        <f t="shared" si="2"/>
        <v>2</v>
      </c>
      <c r="AC51" t="str">
        <f t="shared" si="3"/>
        <v>Q1</v>
      </c>
    </row>
    <row r="52" spans="1:29" x14ac:dyDescent="0.35">
      <c r="A52" t="s">
        <v>105</v>
      </c>
      <c r="B52" s="3">
        <v>45682</v>
      </c>
      <c r="C52" s="3">
        <v>45688</v>
      </c>
      <c r="D52" t="s">
        <v>11</v>
      </c>
      <c r="E52" t="s">
        <v>55</v>
      </c>
      <c r="F52" t="s">
        <v>44</v>
      </c>
      <c r="G52" t="s">
        <v>31</v>
      </c>
      <c r="H52" t="str" cm="1">
        <f t="array" ref="H52">_xlfn.IFS(
OR(G52="Abuja",G52="Fct",G52="Abj"),"Abuja Municipal",
G52="Lagos","Ikeja",
G52="Oyo","Ibadan",
G52="Kano","Kano Municipal",
G52="Enugu","Enugu North",
G52="Rivers","Port Harcourt"
)</f>
        <v>Kano Municipal</v>
      </c>
      <c r="I52" t="s">
        <v>21</v>
      </c>
      <c r="J52" t="s">
        <v>22</v>
      </c>
      <c r="K52" t="s">
        <v>23</v>
      </c>
      <c r="L52" t="s">
        <v>8</v>
      </c>
      <c r="M52" t="s">
        <v>18</v>
      </c>
      <c r="N52" t="s">
        <v>9</v>
      </c>
      <c r="O52">
        <v>3</v>
      </c>
      <c r="P52">
        <v>78000</v>
      </c>
      <c r="Q52">
        <v>234000</v>
      </c>
      <c r="R52">
        <v>0.2</v>
      </c>
      <c r="S52">
        <v>46800</v>
      </c>
      <c r="T52">
        <v>3000</v>
      </c>
      <c r="U52">
        <v>1000</v>
      </c>
      <c r="V52">
        <v>3510</v>
      </c>
      <c r="W52">
        <v>187200</v>
      </c>
      <c r="X52">
        <v>112320</v>
      </c>
      <c r="Y52">
        <v>73370</v>
      </c>
      <c r="Z52">
        <f t="shared" si="0"/>
        <v>2025</v>
      </c>
      <c r="AA52" t="str">
        <f t="shared" si="1"/>
        <v>January</v>
      </c>
      <c r="AB52">
        <f t="shared" si="2"/>
        <v>1</v>
      </c>
      <c r="AC52" t="str">
        <f t="shared" si="3"/>
        <v>Q1</v>
      </c>
    </row>
    <row r="53" spans="1:29" x14ac:dyDescent="0.35">
      <c r="A53" t="s">
        <v>106</v>
      </c>
      <c r="B53" s="3">
        <v>45696</v>
      </c>
      <c r="C53" s="3">
        <v>45701</v>
      </c>
      <c r="D53" t="s">
        <v>65</v>
      </c>
      <c r="E53" t="s">
        <v>55</v>
      </c>
      <c r="F53" t="s">
        <v>44</v>
      </c>
      <c r="G53" t="s">
        <v>35</v>
      </c>
      <c r="H53" t="str" cm="1">
        <f t="array" ref="H53">_xlfn.IFS(
OR(G53="Abuja",G53="Fct",G53="Abj"),"Abuja Municipal",
G53="Lagos","Ikeja",
G53="Oyo","Ibadan",
G53="Kano","Kano Municipal",
G53="Enugu","Enugu North",
G53="Rivers","Port Harcourt"
)</f>
        <v>Abuja Municipal</v>
      </c>
      <c r="I53" t="s">
        <v>5</v>
      </c>
      <c r="J53" t="s">
        <v>6</v>
      </c>
      <c r="K53" t="s">
        <v>7</v>
      </c>
      <c r="L53" t="s">
        <v>32</v>
      </c>
      <c r="M53" t="s">
        <v>24</v>
      </c>
      <c r="N53" t="s">
        <v>46</v>
      </c>
      <c r="O53">
        <v>2</v>
      </c>
      <c r="P53">
        <v>78000</v>
      </c>
      <c r="Q53">
        <v>156000</v>
      </c>
      <c r="R53">
        <v>0.15</v>
      </c>
      <c r="S53">
        <v>23400</v>
      </c>
      <c r="T53">
        <v>2000</v>
      </c>
      <c r="U53">
        <v>3200</v>
      </c>
      <c r="V53">
        <v>2340</v>
      </c>
      <c r="W53">
        <v>132600</v>
      </c>
      <c r="X53">
        <v>79560</v>
      </c>
      <c r="Y53">
        <v>49500</v>
      </c>
      <c r="Z53">
        <f t="shared" si="0"/>
        <v>2025</v>
      </c>
      <c r="AA53" t="str">
        <f t="shared" si="1"/>
        <v>February</v>
      </c>
      <c r="AB53">
        <f t="shared" si="2"/>
        <v>2</v>
      </c>
      <c r="AC53" t="str">
        <f t="shared" si="3"/>
        <v>Q1</v>
      </c>
    </row>
    <row r="54" spans="1:29" x14ac:dyDescent="0.35">
      <c r="A54" t="s">
        <v>107</v>
      </c>
      <c r="B54" s="3">
        <v>45948</v>
      </c>
      <c r="C54" s="3">
        <v>45953</v>
      </c>
      <c r="D54" t="s">
        <v>20</v>
      </c>
      <c r="E54" t="s">
        <v>55</v>
      </c>
      <c r="F54" t="s">
        <v>13</v>
      </c>
      <c r="G54" t="s">
        <v>35</v>
      </c>
      <c r="H54" t="str" cm="1">
        <f t="array" ref="H54">_xlfn.IFS(
OR(G54="Abuja",G54="Fct",G54="Abj"),"Abuja Municipal",
G54="Lagos","Ikeja",
G54="Oyo","Ibadan",
G54="Kano","Kano Municipal",
G54="Enugu","Enugu North",
G54="Rivers","Port Harcourt"
)</f>
        <v>Abuja Municipal</v>
      </c>
      <c r="I54" t="s">
        <v>40</v>
      </c>
      <c r="J54" t="s">
        <v>41</v>
      </c>
      <c r="K54" t="s">
        <v>42</v>
      </c>
      <c r="L54" t="s">
        <v>32</v>
      </c>
      <c r="M54" t="s">
        <v>18</v>
      </c>
      <c r="N54" t="s">
        <v>9</v>
      </c>
      <c r="O54">
        <v>3</v>
      </c>
      <c r="P54">
        <v>25500</v>
      </c>
      <c r="Q54">
        <v>76500</v>
      </c>
      <c r="R54">
        <v>0.15</v>
      </c>
      <c r="S54">
        <v>11475</v>
      </c>
      <c r="T54">
        <v>1500</v>
      </c>
      <c r="U54">
        <v>1000</v>
      </c>
      <c r="V54">
        <v>1147.5</v>
      </c>
      <c r="W54">
        <v>65025</v>
      </c>
      <c r="X54">
        <v>39015</v>
      </c>
      <c r="Y54">
        <v>25362.5</v>
      </c>
      <c r="Z54">
        <f t="shared" si="0"/>
        <v>2025</v>
      </c>
      <c r="AA54" t="str">
        <f t="shared" si="1"/>
        <v>October</v>
      </c>
      <c r="AB54">
        <f t="shared" si="2"/>
        <v>10</v>
      </c>
      <c r="AC54" t="str">
        <f t="shared" si="3"/>
        <v>Q4</v>
      </c>
    </row>
    <row r="55" spans="1:29" x14ac:dyDescent="0.35">
      <c r="A55" t="s">
        <v>108</v>
      </c>
      <c r="B55" s="3">
        <v>45788</v>
      </c>
      <c r="C55" s="3">
        <v>45792</v>
      </c>
      <c r="D55" t="s">
        <v>11</v>
      </c>
      <c r="E55" t="s">
        <v>39</v>
      </c>
      <c r="F55" t="s">
        <v>3</v>
      </c>
      <c r="G55" t="s">
        <v>35</v>
      </c>
      <c r="H55" t="str" cm="1">
        <f t="array" ref="H55">_xlfn.IFS(
OR(G55="Abuja",G55="Fct",G55="Abj"),"Abuja Municipal",
G55="Lagos","Ikeja",
G55="Oyo","Ibadan",
G55="Kano","Kano Municipal",
G55="Enugu","Enugu North",
G55="Rivers","Port Harcourt"
)</f>
        <v>Abuja Municipal</v>
      </c>
      <c r="I55" t="s">
        <v>40</v>
      </c>
      <c r="J55" t="s">
        <v>41</v>
      </c>
      <c r="K55" t="s">
        <v>42</v>
      </c>
      <c r="L55" t="s">
        <v>8</v>
      </c>
      <c r="M55" t="s">
        <v>18</v>
      </c>
      <c r="N55" t="s">
        <v>46</v>
      </c>
      <c r="O55">
        <v>4</v>
      </c>
      <c r="P55">
        <v>18500</v>
      </c>
      <c r="Q55">
        <v>74000</v>
      </c>
      <c r="R55">
        <v>0.05</v>
      </c>
      <c r="S55">
        <v>3700</v>
      </c>
      <c r="T55">
        <v>2000</v>
      </c>
      <c r="U55">
        <v>1000</v>
      </c>
      <c r="V55">
        <v>1110</v>
      </c>
      <c r="W55">
        <v>70300</v>
      </c>
      <c r="X55">
        <v>49210</v>
      </c>
      <c r="Y55">
        <v>20980</v>
      </c>
      <c r="Z55">
        <f t="shared" si="0"/>
        <v>2025</v>
      </c>
      <c r="AA55" t="str">
        <f t="shared" si="1"/>
        <v>May</v>
      </c>
      <c r="AB55">
        <f t="shared" si="2"/>
        <v>5</v>
      </c>
      <c r="AC55" t="str">
        <f t="shared" si="3"/>
        <v>Q2</v>
      </c>
    </row>
    <row r="56" spans="1:29" x14ac:dyDescent="0.35">
      <c r="A56" t="s">
        <v>109</v>
      </c>
      <c r="B56" s="3">
        <v>45886</v>
      </c>
      <c r="C56" s="3">
        <v>45893</v>
      </c>
      <c r="D56" t="s">
        <v>65</v>
      </c>
      <c r="E56" t="s">
        <v>55</v>
      </c>
      <c r="F56" t="s">
        <v>44</v>
      </c>
      <c r="G56" t="s">
        <v>53</v>
      </c>
      <c r="H56" t="str" cm="1">
        <f t="array" ref="H56">_xlfn.IFS(
OR(G56="Abuja",G56="Fct",G56="Abj"),"Abuja Municipal",
G56="Lagos","Ikeja",
G56="Oyo","Ibadan",
G56="Kano","Kano Municipal",
G56="Enugu","Enugu North",
G56="Rivers","Port Harcourt"
)</f>
        <v>Ikeja</v>
      </c>
      <c r="I56" t="s">
        <v>59</v>
      </c>
      <c r="J56" t="s">
        <v>60</v>
      </c>
      <c r="K56" t="s">
        <v>42</v>
      </c>
      <c r="L56" t="s">
        <v>8</v>
      </c>
      <c r="M56" t="s">
        <v>18</v>
      </c>
      <c r="N56" t="s">
        <v>9</v>
      </c>
      <c r="O56">
        <v>5</v>
      </c>
      <c r="P56">
        <v>45000</v>
      </c>
      <c r="Q56">
        <v>225000</v>
      </c>
      <c r="R56">
        <v>0.2</v>
      </c>
      <c r="S56">
        <v>45000</v>
      </c>
      <c r="T56">
        <v>3000</v>
      </c>
      <c r="U56">
        <v>2800</v>
      </c>
      <c r="V56">
        <v>3375</v>
      </c>
      <c r="W56">
        <v>180000</v>
      </c>
      <c r="X56">
        <v>99000</v>
      </c>
      <c r="Y56">
        <v>77825</v>
      </c>
      <c r="Z56">
        <f t="shared" si="0"/>
        <v>2025</v>
      </c>
      <c r="AA56" t="str">
        <f t="shared" si="1"/>
        <v>August</v>
      </c>
      <c r="AB56">
        <f t="shared" si="2"/>
        <v>8</v>
      </c>
      <c r="AC56" t="str">
        <f t="shared" si="3"/>
        <v>Q3</v>
      </c>
    </row>
    <row r="57" spans="1:29" x14ac:dyDescent="0.35">
      <c r="A57" t="s">
        <v>110</v>
      </c>
      <c r="B57" s="3">
        <v>45765</v>
      </c>
      <c r="C57" s="3">
        <v>45767</v>
      </c>
      <c r="D57" t="s">
        <v>62</v>
      </c>
      <c r="E57" t="s">
        <v>30</v>
      </c>
      <c r="F57" t="s">
        <v>44</v>
      </c>
      <c r="G57" t="s">
        <v>35</v>
      </c>
      <c r="H57" t="str" cm="1">
        <f t="array" ref="H57">_xlfn.IFS(
OR(G57="Abuja",G57="Fct",G57="Abj"),"Abuja Municipal",
G57="Lagos","Ikeja",
G57="Oyo","Ibadan",
G57="Kano","Kano Municipal",
G57="Enugu","Enugu North",
G57="Rivers","Port Harcourt"
)</f>
        <v>Abuja Municipal</v>
      </c>
      <c r="I57" t="s">
        <v>56</v>
      </c>
      <c r="J57" t="s">
        <v>57</v>
      </c>
      <c r="K57" t="s">
        <v>17</v>
      </c>
      <c r="L57" t="s">
        <v>8</v>
      </c>
      <c r="M57" t="s">
        <v>18</v>
      </c>
      <c r="N57" t="s">
        <v>46</v>
      </c>
      <c r="O57">
        <v>5</v>
      </c>
      <c r="P57">
        <v>78000</v>
      </c>
      <c r="Q57">
        <v>390000</v>
      </c>
      <c r="R57">
        <v>0.15</v>
      </c>
      <c r="S57">
        <v>58500</v>
      </c>
      <c r="T57">
        <v>3000</v>
      </c>
      <c r="U57">
        <v>2800</v>
      </c>
      <c r="V57">
        <v>5850</v>
      </c>
      <c r="W57">
        <v>331500</v>
      </c>
      <c r="X57">
        <v>232050</v>
      </c>
      <c r="Y57">
        <v>93800</v>
      </c>
      <c r="Z57">
        <f t="shared" si="0"/>
        <v>2025</v>
      </c>
      <c r="AA57" t="str">
        <f t="shared" si="1"/>
        <v>April</v>
      </c>
      <c r="AB57">
        <f t="shared" si="2"/>
        <v>4</v>
      </c>
      <c r="AC57" t="str">
        <f t="shared" si="3"/>
        <v>Q2</v>
      </c>
    </row>
    <row r="58" spans="1:29" x14ac:dyDescent="0.35">
      <c r="A58" t="s">
        <v>111</v>
      </c>
      <c r="B58" s="3">
        <v>45829</v>
      </c>
      <c r="C58" s="3">
        <v>45834</v>
      </c>
      <c r="D58" t="s">
        <v>62</v>
      </c>
      <c r="E58" t="s">
        <v>2</v>
      </c>
      <c r="F58" t="s">
        <v>13</v>
      </c>
      <c r="G58" t="s">
        <v>53</v>
      </c>
      <c r="H58" t="str" cm="1">
        <f t="array" ref="H58">_xlfn.IFS(
OR(G58="Abuja",G58="Fct",G58="Abj"),"Abuja Municipal",
G58="Lagos","Ikeja",
G58="Oyo","Ibadan",
G58="Kano","Kano Municipal",
G58="Enugu","Enugu North",
G58="Rivers","Port Harcourt"
)</f>
        <v>Ikeja</v>
      </c>
      <c r="I58" t="s">
        <v>21</v>
      </c>
      <c r="J58" t="s">
        <v>22</v>
      </c>
      <c r="K58" t="s">
        <v>23</v>
      </c>
      <c r="L58" t="s">
        <v>8</v>
      </c>
      <c r="M58" t="s">
        <v>24</v>
      </c>
      <c r="N58" t="s">
        <v>9</v>
      </c>
      <c r="O58">
        <v>5</v>
      </c>
      <c r="P58">
        <v>25500</v>
      </c>
      <c r="Q58">
        <v>127500</v>
      </c>
      <c r="R58">
        <v>0</v>
      </c>
      <c r="S58">
        <v>0</v>
      </c>
      <c r="T58">
        <v>3500</v>
      </c>
      <c r="U58">
        <v>1500</v>
      </c>
      <c r="V58">
        <v>1912.5</v>
      </c>
      <c r="W58">
        <v>127500</v>
      </c>
      <c r="X58">
        <v>76500</v>
      </c>
      <c r="Y58">
        <v>51087.5</v>
      </c>
      <c r="Z58">
        <f t="shared" si="0"/>
        <v>2025</v>
      </c>
      <c r="AA58" t="str">
        <f t="shared" si="1"/>
        <v>June</v>
      </c>
      <c r="AB58">
        <f t="shared" si="2"/>
        <v>6</v>
      </c>
      <c r="AC58" t="str">
        <f t="shared" si="3"/>
        <v>Q2</v>
      </c>
    </row>
    <row r="59" spans="1:29" x14ac:dyDescent="0.35">
      <c r="A59" t="s">
        <v>112</v>
      </c>
      <c r="B59" s="3">
        <v>45759</v>
      </c>
      <c r="C59" s="3">
        <v>45765</v>
      </c>
      <c r="D59" t="s">
        <v>33</v>
      </c>
      <c r="E59" t="s">
        <v>55</v>
      </c>
      <c r="F59" t="s">
        <v>3</v>
      </c>
      <c r="G59" t="s">
        <v>31</v>
      </c>
      <c r="H59" t="str" cm="1">
        <f t="array" ref="H59">_xlfn.IFS(
OR(G59="Abuja",G59="Fct",G59="Abj"),"Abuja Municipal",
G59="Lagos","Ikeja",
G59="Oyo","Ibadan",
G59="Kano","Kano Municipal",
G59="Enugu","Enugu North",
G59="Rivers","Port Harcourt"
)</f>
        <v>Kano Municipal</v>
      </c>
      <c r="I59" t="s">
        <v>49</v>
      </c>
      <c r="J59" t="s">
        <v>50</v>
      </c>
      <c r="K59" t="s">
        <v>42</v>
      </c>
      <c r="L59" t="s">
        <v>32</v>
      </c>
      <c r="M59" t="s">
        <v>24</v>
      </c>
      <c r="N59" t="s">
        <v>9</v>
      </c>
      <c r="O59">
        <v>3</v>
      </c>
      <c r="P59">
        <v>15000</v>
      </c>
      <c r="Q59">
        <v>45000</v>
      </c>
      <c r="R59">
        <v>0.05</v>
      </c>
      <c r="S59">
        <v>2250</v>
      </c>
      <c r="T59">
        <v>3000</v>
      </c>
      <c r="U59">
        <v>2200</v>
      </c>
      <c r="V59">
        <v>675</v>
      </c>
      <c r="W59">
        <v>42750</v>
      </c>
      <c r="X59">
        <v>27787.5</v>
      </c>
      <c r="Y59">
        <v>15087.5</v>
      </c>
      <c r="Z59">
        <f t="shared" si="0"/>
        <v>2025</v>
      </c>
      <c r="AA59" t="str">
        <f t="shared" si="1"/>
        <v>April</v>
      </c>
      <c r="AB59">
        <f t="shared" si="2"/>
        <v>4</v>
      </c>
      <c r="AC59" t="str">
        <f t="shared" si="3"/>
        <v>Q2</v>
      </c>
    </row>
    <row r="60" spans="1:29" x14ac:dyDescent="0.35">
      <c r="A60" t="s">
        <v>113</v>
      </c>
      <c r="B60" s="3">
        <v>46011</v>
      </c>
      <c r="C60" s="3">
        <v>46014</v>
      </c>
      <c r="D60" t="s">
        <v>11</v>
      </c>
      <c r="E60" t="s">
        <v>48</v>
      </c>
      <c r="F60" t="s">
        <v>3</v>
      </c>
      <c r="G60" t="s">
        <v>35</v>
      </c>
      <c r="H60" t="str" cm="1">
        <f t="array" ref="H60">_xlfn.IFS(
OR(G60="Abuja",G60="Fct",G60="Abj"),"Abuja Municipal",
G60="Lagos","Ikeja",
G60="Oyo","Ibadan",
G60="Kano","Kano Municipal",
G60="Enugu","Enugu North",
G60="Rivers","Port Harcourt"
)</f>
        <v>Abuja Municipal</v>
      </c>
      <c r="I60" t="s">
        <v>15</v>
      </c>
      <c r="J60" t="s">
        <v>16</v>
      </c>
      <c r="K60" t="s">
        <v>17</v>
      </c>
      <c r="L60" t="s">
        <v>32</v>
      </c>
      <c r="M60" t="s">
        <v>24</v>
      </c>
      <c r="N60" t="s">
        <v>9</v>
      </c>
      <c r="O60">
        <v>4</v>
      </c>
      <c r="P60">
        <v>78000</v>
      </c>
      <c r="Q60">
        <v>312000</v>
      </c>
      <c r="R60">
        <v>0.2</v>
      </c>
      <c r="S60">
        <v>62400</v>
      </c>
      <c r="T60">
        <v>2500</v>
      </c>
      <c r="U60">
        <v>1500</v>
      </c>
      <c r="V60">
        <v>4680</v>
      </c>
      <c r="W60">
        <v>249600</v>
      </c>
      <c r="X60">
        <v>162240</v>
      </c>
      <c r="Y60">
        <v>83680</v>
      </c>
      <c r="Z60">
        <f t="shared" si="0"/>
        <v>2025</v>
      </c>
      <c r="AA60" t="str">
        <f t="shared" si="1"/>
        <v>December</v>
      </c>
      <c r="AB60">
        <f t="shared" si="2"/>
        <v>12</v>
      </c>
      <c r="AC60" t="str">
        <f t="shared" si="3"/>
        <v>Q4</v>
      </c>
    </row>
    <row r="61" spans="1:29" x14ac:dyDescent="0.35">
      <c r="A61" t="s">
        <v>114</v>
      </c>
      <c r="B61" s="3">
        <v>45669</v>
      </c>
      <c r="C61" s="3">
        <v>45670</v>
      </c>
      <c r="D61" t="s">
        <v>62</v>
      </c>
      <c r="E61" t="s">
        <v>52</v>
      </c>
      <c r="F61" t="s">
        <v>44</v>
      </c>
      <c r="G61" t="s">
        <v>35</v>
      </c>
      <c r="H61" t="str" cm="1">
        <f t="array" ref="H61">_xlfn.IFS(
OR(G61="Abuja",G61="Fct",G61="Abj"),"Abuja Municipal",
G61="Lagos","Ikeja",
G61="Oyo","Ibadan",
G61="Kano","Kano Municipal",
G61="Enugu","Enugu North",
G61="Rivers","Port Harcourt"
)</f>
        <v>Abuja Municipal</v>
      </c>
      <c r="I61" t="s">
        <v>86</v>
      </c>
      <c r="J61" t="s">
        <v>87</v>
      </c>
      <c r="K61" t="s">
        <v>23</v>
      </c>
      <c r="L61" t="s">
        <v>28</v>
      </c>
      <c r="M61" t="s">
        <v>18</v>
      </c>
      <c r="N61" t="s">
        <v>46</v>
      </c>
      <c r="O61">
        <v>2</v>
      </c>
      <c r="P61">
        <v>6500</v>
      </c>
      <c r="Q61">
        <v>13000</v>
      </c>
      <c r="R61">
        <v>0.05</v>
      </c>
      <c r="S61">
        <v>650</v>
      </c>
      <c r="T61">
        <v>1500</v>
      </c>
      <c r="U61">
        <v>1800</v>
      </c>
      <c r="V61">
        <v>195</v>
      </c>
      <c r="W61">
        <v>12350</v>
      </c>
      <c r="X61">
        <v>7410</v>
      </c>
      <c r="Y61">
        <v>4445</v>
      </c>
      <c r="Z61">
        <f t="shared" si="0"/>
        <v>2025</v>
      </c>
      <c r="AA61" t="str">
        <f t="shared" si="1"/>
        <v>January</v>
      </c>
      <c r="AB61">
        <f t="shared" si="2"/>
        <v>1</v>
      </c>
      <c r="AC61" t="str">
        <f t="shared" si="3"/>
        <v>Q1</v>
      </c>
    </row>
    <row r="62" spans="1:29" x14ac:dyDescent="0.35">
      <c r="A62" t="s">
        <v>115</v>
      </c>
      <c r="B62" s="3">
        <v>45932</v>
      </c>
      <c r="C62" s="3">
        <v>45933</v>
      </c>
      <c r="D62" t="s">
        <v>65</v>
      </c>
      <c r="E62" t="s">
        <v>39</v>
      </c>
      <c r="F62" t="s">
        <v>44</v>
      </c>
      <c r="G62" t="s">
        <v>27</v>
      </c>
      <c r="H62" t="str" cm="1">
        <f t="array" ref="H62">_xlfn.IFS(
OR(G62="Abuja",G62="Fct",G62="Abj"),"Abuja Municipal",
G62="Lagos","Ikeja",
G62="Oyo","Ibadan",
G62="Kano","Kano Municipal",
G62="Enugu","Enugu North",
G62="Rivers","Port Harcourt"
)</f>
        <v>Port Harcourt</v>
      </c>
      <c r="I62" t="s">
        <v>5</v>
      </c>
      <c r="J62" t="s">
        <v>6</v>
      </c>
      <c r="K62" t="s">
        <v>7</v>
      </c>
      <c r="L62" t="s">
        <v>28</v>
      </c>
      <c r="M62" t="s">
        <v>24</v>
      </c>
      <c r="N62" t="s">
        <v>9</v>
      </c>
      <c r="O62">
        <v>2</v>
      </c>
      <c r="P62">
        <v>45000</v>
      </c>
      <c r="Q62">
        <v>90000</v>
      </c>
      <c r="R62">
        <v>0</v>
      </c>
      <c r="S62">
        <v>0</v>
      </c>
      <c r="T62">
        <v>3500</v>
      </c>
      <c r="U62">
        <v>1000</v>
      </c>
      <c r="V62">
        <v>1350</v>
      </c>
      <c r="W62">
        <v>90000</v>
      </c>
      <c r="X62">
        <v>58500</v>
      </c>
      <c r="Y62">
        <v>32650</v>
      </c>
      <c r="Z62">
        <f t="shared" si="0"/>
        <v>2025</v>
      </c>
      <c r="AA62" t="str">
        <f t="shared" si="1"/>
        <v>October</v>
      </c>
      <c r="AB62">
        <f t="shared" si="2"/>
        <v>10</v>
      </c>
      <c r="AC62" t="str">
        <f t="shared" si="3"/>
        <v>Q4</v>
      </c>
    </row>
    <row r="63" spans="1:29" x14ac:dyDescent="0.35">
      <c r="A63" t="s">
        <v>116</v>
      </c>
      <c r="B63" s="3">
        <v>45758</v>
      </c>
      <c r="C63" s="3">
        <v>45759</v>
      </c>
      <c r="D63" t="s">
        <v>33</v>
      </c>
      <c r="E63" t="s">
        <v>48</v>
      </c>
      <c r="F63" t="s">
        <v>13</v>
      </c>
      <c r="G63" t="s">
        <v>31</v>
      </c>
      <c r="H63" t="str" cm="1">
        <f t="array" ref="H63">_xlfn.IFS(
OR(G63="Abuja",G63="Fct",G63="Abj"),"Abuja Municipal",
G63="Lagos","Ikeja",
G63="Oyo","Ibadan",
G63="Kano","Kano Municipal",
G63="Enugu","Enugu North",
G63="Rivers","Port Harcourt"
)</f>
        <v>Kano Municipal</v>
      </c>
      <c r="I63" t="s">
        <v>49</v>
      </c>
      <c r="J63" t="s">
        <v>50</v>
      </c>
      <c r="K63" t="s">
        <v>42</v>
      </c>
      <c r="L63" t="s">
        <v>32</v>
      </c>
      <c r="M63" t="s">
        <v>24</v>
      </c>
      <c r="N63" t="s">
        <v>9</v>
      </c>
      <c r="O63">
        <v>3</v>
      </c>
      <c r="P63">
        <v>45000</v>
      </c>
      <c r="Q63">
        <v>135000</v>
      </c>
      <c r="R63">
        <v>0.2</v>
      </c>
      <c r="S63">
        <v>27000</v>
      </c>
      <c r="T63">
        <v>2500</v>
      </c>
      <c r="U63">
        <v>3200</v>
      </c>
      <c r="V63">
        <v>2025</v>
      </c>
      <c r="W63">
        <v>108000</v>
      </c>
      <c r="X63">
        <v>64800</v>
      </c>
      <c r="Y63">
        <v>40475</v>
      </c>
      <c r="Z63">
        <f t="shared" si="0"/>
        <v>2025</v>
      </c>
      <c r="AA63" t="str">
        <f t="shared" si="1"/>
        <v>April</v>
      </c>
      <c r="AB63">
        <f t="shared" si="2"/>
        <v>4</v>
      </c>
      <c r="AC63" t="str">
        <f t="shared" si="3"/>
        <v>Q2</v>
      </c>
    </row>
    <row r="64" spans="1:29" x14ac:dyDescent="0.35">
      <c r="A64" t="s">
        <v>117</v>
      </c>
      <c r="B64" s="3">
        <v>45701</v>
      </c>
      <c r="C64" s="3">
        <v>45708</v>
      </c>
      <c r="D64" t="s">
        <v>65</v>
      </c>
      <c r="E64" t="s">
        <v>55</v>
      </c>
      <c r="F64" t="s">
        <v>13</v>
      </c>
      <c r="G64" t="s">
        <v>35</v>
      </c>
      <c r="H64" t="str" cm="1">
        <f t="array" ref="H64">_xlfn.IFS(
OR(G64="Abuja",G64="Fct",G64="Abj"),"Abuja Municipal",
G64="Lagos","Ikeja",
G64="Oyo","Ibadan",
G64="Kano","Kano Municipal",
G64="Enugu","Enugu North",
G64="Rivers","Port Harcourt"
)</f>
        <v>Abuja Municipal</v>
      </c>
      <c r="I64" t="s">
        <v>56</v>
      </c>
      <c r="J64" t="s">
        <v>57</v>
      </c>
      <c r="K64" t="s">
        <v>17</v>
      </c>
      <c r="L64" t="s">
        <v>28</v>
      </c>
      <c r="M64" t="s">
        <v>18</v>
      </c>
      <c r="N64" t="s">
        <v>46</v>
      </c>
      <c r="O64">
        <v>5</v>
      </c>
      <c r="P64">
        <v>6500</v>
      </c>
      <c r="Q64">
        <v>32500</v>
      </c>
      <c r="R64">
        <v>0.05</v>
      </c>
      <c r="S64">
        <v>1625</v>
      </c>
      <c r="T64">
        <v>2000</v>
      </c>
      <c r="U64">
        <v>1000</v>
      </c>
      <c r="V64">
        <v>487.5</v>
      </c>
      <c r="W64">
        <v>30875</v>
      </c>
      <c r="X64">
        <v>20068.75</v>
      </c>
      <c r="Y64">
        <v>11318.75</v>
      </c>
      <c r="Z64">
        <f t="shared" si="0"/>
        <v>2025</v>
      </c>
      <c r="AA64" t="str">
        <f t="shared" si="1"/>
        <v>February</v>
      </c>
      <c r="AB64">
        <f t="shared" si="2"/>
        <v>2</v>
      </c>
      <c r="AC64" t="str">
        <f t="shared" si="3"/>
        <v>Q1</v>
      </c>
    </row>
    <row r="65" spans="1:29" x14ac:dyDescent="0.35">
      <c r="A65" t="s">
        <v>118</v>
      </c>
      <c r="B65" s="3">
        <v>45962</v>
      </c>
      <c r="C65" s="3">
        <v>45964</v>
      </c>
      <c r="D65" t="s">
        <v>33</v>
      </c>
      <c r="E65" t="s">
        <v>30</v>
      </c>
      <c r="F65" t="s">
        <v>3</v>
      </c>
      <c r="G65" t="s">
        <v>31</v>
      </c>
      <c r="H65" t="str" cm="1">
        <f t="array" ref="H65">_xlfn.IFS(
OR(G65="Abuja",G65="Fct",G65="Abj"),"Abuja Municipal",
G65="Lagos","Ikeja",
G65="Oyo","Ibadan",
G65="Kano","Kano Municipal",
G65="Enugu","Enugu North",
G65="Rivers","Port Harcourt"
)</f>
        <v>Kano Municipal</v>
      </c>
      <c r="I65" t="s">
        <v>15</v>
      </c>
      <c r="J65" t="s">
        <v>16</v>
      </c>
      <c r="K65" t="s">
        <v>17</v>
      </c>
      <c r="L65" t="s">
        <v>32</v>
      </c>
      <c r="M65" t="s">
        <v>303</v>
      </c>
      <c r="N65" t="s">
        <v>36</v>
      </c>
      <c r="O65">
        <v>1</v>
      </c>
      <c r="P65">
        <v>32000</v>
      </c>
      <c r="Q65">
        <v>32000</v>
      </c>
      <c r="R65">
        <v>0.1</v>
      </c>
      <c r="S65">
        <v>3200</v>
      </c>
      <c r="T65">
        <v>1500</v>
      </c>
      <c r="U65">
        <v>1000</v>
      </c>
      <c r="V65">
        <v>480</v>
      </c>
      <c r="W65">
        <v>28800</v>
      </c>
      <c r="X65">
        <v>20160</v>
      </c>
      <c r="Y65">
        <v>8660</v>
      </c>
      <c r="Z65">
        <f t="shared" si="0"/>
        <v>2025</v>
      </c>
      <c r="AA65" t="str">
        <f t="shared" si="1"/>
        <v>November</v>
      </c>
      <c r="AB65">
        <f t="shared" si="2"/>
        <v>11</v>
      </c>
      <c r="AC65" t="str">
        <f t="shared" si="3"/>
        <v>Q4</v>
      </c>
    </row>
    <row r="66" spans="1:29" x14ac:dyDescent="0.35">
      <c r="A66" t="s">
        <v>119</v>
      </c>
      <c r="B66" s="3">
        <v>45674</v>
      </c>
      <c r="C66" s="3">
        <v>45678</v>
      </c>
      <c r="D66" t="s">
        <v>11</v>
      </c>
      <c r="E66" t="s">
        <v>2</v>
      </c>
      <c r="F66" t="s">
        <v>44</v>
      </c>
      <c r="G66" t="s">
        <v>35</v>
      </c>
      <c r="H66" t="str" cm="1">
        <f t="array" ref="H66">_xlfn.IFS(
OR(G66="Abuja",G66="Fct",G66="Abj"),"Abuja Municipal",
G66="Lagos","Ikeja",
G66="Oyo","Ibadan",
G66="Kano","Kano Municipal",
G66="Enugu","Enugu North",
G66="Rivers","Port Harcourt"
)</f>
        <v>Abuja Municipal</v>
      </c>
      <c r="I66" t="s">
        <v>56</v>
      </c>
      <c r="J66" t="s">
        <v>57</v>
      </c>
      <c r="K66" t="s">
        <v>17</v>
      </c>
      <c r="L66" t="s">
        <v>28</v>
      </c>
      <c r="M66" t="s">
        <v>18</v>
      </c>
      <c r="N66" t="s">
        <v>9</v>
      </c>
      <c r="O66">
        <v>3</v>
      </c>
      <c r="P66">
        <v>15000</v>
      </c>
      <c r="Q66">
        <v>45000</v>
      </c>
      <c r="R66">
        <v>0</v>
      </c>
      <c r="S66">
        <v>0</v>
      </c>
      <c r="T66">
        <v>3000</v>
      </c>
      <c r="U66">
        <v>1500</v>
      </c>
      <c r="V66">
        <v>675</v>
      </c>
      <c r="W66">
        <v>45000</v>
      </c>
      <c r="X66">
        <v>24750</v>
      </c>
      <c r="Y66">
        <v>21075</v>
      </c>
      <c r="Z66">
        <f t="shared" si="0"/>
        <v>2025</v>
      </c>
      <c r="AA66" t="str">
        <f t="shared" si="1"/>
        <v>January</v>
      </c>
      <c r="AB66">
        <f t="shared" si="2"/>
        <v>1</v>
      </c>
      <c r="AC66" t="str">
        <f t="shared" si="3"/>
        <v>Q1</v>
      </c>
    </row>
    <row r="67" spans="1:29" x14ac:dyDescent="0.35">
      <c r="A67" t="s">
        <v>120</v>
      </c>
      <c r="B67" s="3">
        <v>45987</v>
      </c>
      <c r="C67" s="3">
        <v>45992</v>
      </c>
      <c r="D67" t="s">
        <v>20</v>
      </c>
      <c r="E67" t="s">
        <v>34</v>
      </c>
      <c r="F67" t="s">
        <v>3</v>
      </c>
      <c r="G67" t="s">
        <v>27</v>
      </c>
      <c r="H67" t="str" cm="1">
        <f t="array" ref="H67">_xlfn.IFS(
OR(G67="Abuja",G67="Fct",G67="Abj"),"Abuja Municipal",
G67="Lagos","Ikeja",
G67="Oyo","Ibadan",
G67="Kano","Kano Municipal",
G67="Enugu","Enugu North",
G67="Rivers","Port Harcourt"
)</f>
        <v>Port Harcourt</v>
      </c>
      <c r="I67" t="s">
        <v>5</v>
      </c>
      <c r="J67" t="s">
        <v>6</v>
      </c>
      <c r="K67" t="s">
        <v>7</v>
      </c>
      <c r="L67" t="s">
        <v>8</v>
      </c>
      <c r="M67" t="s">
        <v>24</v>
      </c>
      <c r="N67" t="s">
        <v>36</v>
      </c>
      <c r="O67">
        <v>3</v>
      </c>
      <c r="P67">
        <v>6500</v>
      </c>
      <c r="Q67">
        <v>19500</v>
      </c>
      <c r="R67">
        <v>0</v>
      </c>
      <c r="S67">
        <v>0</v>
      </c>
      <c r="T67">
        <v>1500</v>
      </c>
      <c r="U67">
        <v>3200</v>
      </c>
      <c r="V67">
        <v>292.5</v>
      </c>
      <c r="W67">
        <v>19500</v>
      </c>
      <c r="X67">
        <v>10725</v>
      </c>
      <c r="Y67">
        <v>6782.5</v>
      </c>
      <c r="Z67">
        <f t="shared" ref="Z67:Z130" si="4">YEAR(B67)</f>
        <v>2025</v>
      </c>
      <c r="AA67" t="str">
        <f t="shared" ref="AA67:AA130" si="5">TEXT(B67,"mmmm")</f>
        <v>November</v>
      </c>
      <c r="AB67">
        <f t="shared" ref="AB67:AB130" si="6">MONTH(B67)</f>
        <v>11</v>
      </c>
      <c r="AC67" t="str">
        <f t="shared" ref="AC67:AC130" si="7">"Q"&amp;ROUNDUP(MONTH(B67)/3,0)</f>
        <v>Q4</v>
      </c>
    </row>
    <row r="68" spans="1:29" x14ac:dyDescent="0.35">
      <c r="A68" t="s">
        <v>121</v>
      </c>
      <c r="B68" s="3">
        <v>45714</v>
      </c>
      <c r="C68" s="3">
        <v>45717</v>
      </c>
      <c r="D68" t="s">
        <v>1</v>
      </c>
      <c r="E68" t="s">
        <v>12</v>
      </c>
      <c r="F68" t="s">
        <v>44</v>
      </c>
      <c r="G68" t="s">
        <v>31</v>
      </c>
      <c r="H68" t="str" cm="1">
        <f t="array" ref="H68">_xlfn.IFS(
OR(G68="Abuja",G68="Fct",G68="Abj"),"Abuja Municipal",
G68="Lagos","Ikeja",
G68="Oyo","Ibadan",
G68="Kano","Kano Municipal",
G68="Enugu","Enugu North",
G68="Rivers","Port Harcourt"
)</f>
        <v>Kano Municipal</v>
      </c>
      <c r="I68" t="s">
        <v>40</v>
      </c>
      <c r="J68" t="s">
        <v>41</v>
      </c>
      <c r="K68" t="s">
        <v>42</v>
      </c>
      <c r="L68" t="s">
        <v>28</v>
      </c>
      <c r="M68" t="s">
        <v>18</v>
      </c>
      <c r="N68" t="s">
        <v>9</v>
      </c>
      <c r="O68">
        <v>4</v>
      </c>
      <c r="P68">
        <v>120000</v>
      </c>
      <c r="Q68">
        <v>480000</v>
      </c>
      <c r="R68">
        <v>0</v>
      </c>
      <c r="S68">
        <v>0</v>
      </c>
      <c r="T68">
        <v>2000</v>
      </c>
      <c r="U68">
        <v>3200</v>
      </c>
      <c r="V68">
        <v>7200</v>
      </c>
      <c r="W68">
        <v>480000</v>
      </c>
      <c r="X68">
        <v>336000</v>
      </c>
      <c r="Y68">
        <v>135600</v>
      </c>
      <c r="Z68">
        <f t="shared" si="4"/>
        <v>2025</v>
      </c>
      <c r="AA68" t="str">
        <f t="shared" si="5"/>
        <v>February</v>
      </c>
      <c r="AB68">
        <f t="shared" si="6"/>
        <v>2</v>
      </c>
      <c r="AC68" t="str">
        <f t="shared" si="7"/>
        <v>Q1</v>
      </c>
    </row>
    <row r="69" spans="1:29" x14ac:dyDescent="0.35">
      <c r="A69" t="s">
        <v>122</v>
      </c>
      <c r="B69" s="3">
        <v>45968</v>
      </c>
      <c r="C69" s="3">
        <v>45974</v>
      </c>
      <c r="D69" t="s">
        <v>75</v>
      </c>
      <c r="E69" t="s">
        <v>52</v>
      </c>
      <c r="F69" t="s">
        <v>3</v>
      </c>
      <c r="G69" t="s">
        <v>53</v>
      </c>
      <c r="H69" t="str" cm="1">
        <f t="array" ref="H69">_xlfn.IFS(
OR(G69="Abuja",G69="Fct",G69="Abj"),"Abuja Municipal",
G69="Lagos","Ikeja",
G69="Oyo","Ibadan",
G69="Kano","Kano Municipal",
G69="Enugu","Enugu North",
G69="Rivers","Port Harcourt"
)</f>
        <v>Ikeja</v>
      </c>
      <c r="I69" t="s">
        <v>15</v>
      </c>
      <c r="J69" t="s">
        <v>16</v>
      </c>
      <c r="K69" t="s">
        <v>17</v>
      </c>
      <c r="L69" t="s">
        <v>8</v>
      </c>
      <c r="M69" t="s">
        <v>303</v>
      </c>
      <c r="N69" t="s">
        <v>36</v>
      </c>
      <c r="O69">
        <v>2</v>
      </c>
      <c r="P69">
        <v>120000</v>
      </c>
      <c r="Q69">
        <v>240000</v>
      </c>
      <c r="R69">
        <v>0.1</v>
      </c>
      <c r="S69">
        <v>24000</v>
      </c>
      <c r="T69">
        <v>3500</v>
      </c>
      <c r="U69">
        <v>3200</v>
      </c>
      <c r="V69">
        <v>3600</v>
      </c>
      <c r="W69">
        <v>216000</v>
      </c>
      <c r="X69">
        <v>151200</v>
      </c>
      <c r="Y69">
        <v>61500</v>
      </c>
      <c r="Z69">
        <f t="shared" si="4"/>
        <v>2025</v>
      </c>
      <c r="AA69" t="str">
        <f t="shared" si="5"/>
        <v>November</v>
      </c>
      <c r="AB69">
        <f t="shared" si="6"/>
        <v>11</v>
      </c>
      <c r="AC69" t="str">
        <f t="shared" si="7"/>
        <v>Q4</v>
      </c>
    </row>
    <row r="70" spans="1:29" x14ac:dyDescent="0.35">
      <c r="A70" t="s">
        <v>123</v>
      </c>
      <c r="B70" s="3">
        <v>45960</v>
      </c>
      <c r="C70" s="3">
        <v>45963</v>
      </c>
      <c r="D70" t="s">
        <v>20</v>
      </c>
      <c r="E70" t="s">
        <v>12</v>
      </c>
      <c r="F70" t="s">
        <v>44</v>
      </c>
      <c r="G70" t="s">
        <v>53</v>
      </c>
      <c r="H70" t="str" cm="1">
        <f t="array" ref="H70">_xlfn.IFS(
OR(G70="Abuja",G70="Fct",G70="Abj"),"Abuja Municipal",
G70="Lagos","Ikeja",
G70="Oyo","Ibadan",
G70="Kano","Kano Municipal",
G70="Enugu","Enugu North",
G70="Rivers","Port Harcourt"
)</f>
        <v>Ikeja</v>
      </c>
      <c r="I70" t="s">
        <v>40</v>
      </c>
      <c r="J70" t="s">
        <v>41</v>
      </c>
      <c r="K70" t="s">
        <v>42</v>
      </c>
      <c r="L70" t="s">
        <v>8</v>
      </c>
      <c r="M70" t="s">
        <v>18</v>
      </c>
      <c r="N70" t="s">
        <v>9</v>
      </c>
      <c r="O70">
        <v>3</v>
      </c>
      <c r="P70">
        <v>25500</v>
      </c>
      <c r="Q70">
        <v>76500</v>
      </c>
      <c r="R70">
        <v>0.35</v>
      </c>
      <c r="S70">
        <v>26775</v>
      </c>
      <c r="T70">
        <v>3500</v>
      </c>
      <c r="U70">
        <v>1500</v>
      </c>
      <c r="V70">
        <v>1147.5</v>
      </c>
      <c r="W70">
        <v>49725</v>
      </c>
      <c r="X70">
        <v>41310</v>
      </c>
      <c r="Y70">
        <v>9267.5</v>
      </c>
      <c r="Z70">
        <f t="shared" si="4"/>
        <v>2025</v>
      </c>
      <c r="AA70" t="str">
        <f t="shared" si="5"/>
        <v>October</v>
      </c>
      <c r="AB70">
        <f t="shared" si="6"/>
        <v>10</v>
      </c>
      <c r="AC70" t="str">
        <f t="shared" si="7"/>
        <v>Q4</v>
      </c>
    </row>
    <row r="71" spans="1:29" x14ac:dyDescent="0.35">
      <c r="A71" t="s">
        <v>124</v>
      </c>
      <c r="B71" s="3">
        <v>45669</v>
      </c>
      <c r="C71" s="3">
        <v>45675</v>
      </c>
      <c r="D71" t="s">
        <v>26</v>
      </c>
      <c r="E71" t="s">
        <v>55</v>
      </c>
      <c r="F71" t="s">
        <v>13</v>
      </c>
      <c r="G71" t="s">
        <v>14</v>
      </c>
      <c r="H71" t="str" cm="1">
        <f t="array" ref="H71">_xlfn.IFS(
OR(G71="Abuja",G71="Fct",G71="Abj"),"Abuja Municipal",
G71="Lagos","Ikeja",
G71="Oyo","Ibadan",
G71="Kano","Kano Municipal",
G71="Enugu","Enugu North",
G71="Rivers","Port Harcourt"
)</f>
        <v>Ibadan</v>
      </c>
      <c r="I71" t="s">
        <v>5</v>
      </c>
      <c r="J71" t="s">
        <v>6</v>
      </c>
      <c r="K71" t="s">
        <v>7</v>
      </c>
      <c r="L71" t="s">
        <v>8</v>
      </c>
      <c r="M71" t="s">
        <v>24</v>
      </c>
      <c r="N71" t="s">
        <v>9</v>
      </c>
      <c r="O71">
        <v>3</v>
      </c>
      <c r="P71">
        <v>45000</v>
      </c>
      <c r="Q71">
        <v>135000</v>
      </c>
      <c r="R71">
        <v>0.15</v>
      </c>
      <c r="S71">
        <v>20250</v>
      </c>
      <c r="T71">
        <v>3500</v>
      </c>
      <c r="U71">
        <v>1000</v>
      </c>
      <c r="V71">
        <v>2025</v>
      </c>
      <c r="W71">
        <v>114750</v>
      </c>
      <c r="X71">
        <v>68850</v>
      </c>
      <c r="Y71">
        <v>46375</v>
      </c>
      <c r="Z71">
        <f t="shared" si="4"/>
        <v>2025</v>
      </c>
      <c r="AA71" t="str">
        <f t="shared" si="5"/>
        <v>January</v>
      </c>
      <c r="AB71">
        <f t="shared" si="6"/>
        <v>1</v>
      </c>
      <c r="AC71" t="str">
        <f t="shared" si="7"/>
        <v>Q1</v>
      </c>
    </row>
    <row r="72" spans="1:29" x14ac:dyDescent="0.35">
      <c r="A72" t="s">
        <v>125</v>
      </c>
      <c r="B72" s="3">
        <v>45975</v>
      </c>
      <c r="C72" s="3">
        <v>45982</v>
      </c>
      <c r="D72" t="s">
        <v>65</v>
      </c>
      <c r="E72" t="s">
        <v>52</v>
      </c>
      <c r="F72" t="s">
        <v>44</v>
      </c>
      <c r="G72" t="s">
        <v>27</v>
      </c>
      <c r="H72" t="str" cm="1">
        <f t="array" ref="H72">_xlfn.IFS(
OR(G72="Abuja",G72="Fct",G72="Abj"),"Abuja Municipal",
G72="Lagos","Ikeja",
G72="Oyo","Ibadan",
G72="Kano","Kano Municipal",
G72="Enugu","Enugu North",
G72="Rivers","Port Harcourt"
)</f>
        <v>Port Harcourt</v>
      </c>
      <c r="I72" t="s">
        <v>49</v>
      </c>
      <c r="J72" t="s">
        <v>50</v>
      </c>
      <c r="K72" t="s">
        <v>42</v>
      </c>
      <c r="L72" t="s">
        <v>8</v>
      </c>
      <c r="M72" t="s">
        <v>303</v>
      </c>
      <c r="N72" t="s">
        <v>46</v>
      </c>
      <c r="O72">
        <v>5</v>
      </c>
      <c r="P72">
        <v>32000</v>
      </c>
      <c r="Q72">
        <v>160000</v>
      </c>
      <c r="R72">
        <v>0.05</v>
      </c>
      <c r="S72">
        <v>8000</v>
      </c>
      <c r="T72">
        <v>3000</v>
      </c>
      <c r="U72">
        <v>1500</v>
      </c>
      <c r="V72">
        <v>2400</v>
      </c>
      <c r="W72">
        <v>152000</v>
      </c>
      <c r="X72">
        <v>91200</v>
      </c>
      <c r="Y72">
        <v>59900</v>
      </c>
      <c r="Z72">
        <f t="shared" si="4"/>
        <v>2025</v>
      </c>
      <c r="AA72" t="str">
        <f t="shared" si="5"/>
        <v>November</v>
      </c>
      <c r="AB72">
        <f t="shared" si="6"/>
        <v>11</v>
      </c>
      <c r="AC72" t="str">
        <f t="shared" si="7"/>
        <v>Q4</v>
      </c>
    </row>
    <row r="73" spans="1:29" x14ac:dyDescent="0.35">
      <c r="A73" t="s">
        <v>126</v>
      </c>
      <c r="B73" s="3">
        <v>45737</v>
      </c>
      <c r="C73" s="3">
        <v>45739</v>
      </c>
      <c r="D73" t="s">
        <v>26</v>
      </c>
      <c r="E73" t="s">
        <v>52</v>
      </c>
      <c r="F73" t="s">
        <v>44</v>
      </c>
      <c r="G73" t="s">
        <v>27</v>
      </c>
      <c r="H73" t="str" cm="1">
        <f t="array" ref="H73">_xlfn.IFS(
OR(G73="Abuja",G73="Fct",G73="Abj"),"Abuja Municipal",
G73="Lagos","Ikeja",
G73="Oyo","Ibadan",
G73="Kano","Kano Municipal",
G73="Enugu","Enugu North",
G73="Rivers","Port Harcourt"
)</f>
        <v>Port Harcourt</v>
      </c>
      <c r="I73" t="s">
        <v>5</v>
      </c>
      <c r="J73" t="s">
        <v>6</v>
      </c>
      <c r="K73" t="s">
        <v>7</v>
      </c>
      <c r="L73" t="s">
        <v>28</v>
      </c>
      <c r="M73" t="s">
        <v>18</v>
      </c>
      <c r="N73" t="s">
        <v>9</v>
      </c>
      <c r="O73">
        <v>5</v>
      </c>
      <c r="P73">
        <v>32000</v>
      </c>
      <c r="Q73">
        <v>160000</v>
      </c>
      <c r="R73">
        <v>0.15</v>
      </c>
      <c r="S73">
        <v>24000</v>
      </c>
      <c r="T73">
        <v>2500</v>
      </c>
      <c r="U73">
        <v>2800</v>
      </c>
      <c r="V73">
        <v>2400</v>
      </c>
      <c r="W73">
        <v>136000</v>
      </c>
      <c r="X73">
        <v>88400</v>
      </c>
      <c r="Y73">
        <v>44900</v>
      </c>
      <c r="Z73">
        <f t="shared" si="4"/>
        <v>2025</v>
      </c>
      <c r="AA73" t="str">
        <f t="shared" si="5"/>
        <v>March</v>
      </c>
      <c r="AB73">
        <f t="shared" si="6"/>
        <v>3</v>
      </c>
      <c r="AC73" t="str">
        <f t="shared" si="7"/>
        <v>Q1</v>
      </c>
    </row>
    <row r="74" spans="1:29" x14ac:dyDescent="0.35">
      <c r="A74" t="s">
        <v>127</v>
      </c>
      <c r="B74" s="3">
        <v>45873</v>
      </c>
      <c r="C74" s="3">
        <v>45874</v>
      </c>
      <c r="D74" t="s">
        <v>20</v>
      </c>
      <c r="E74" t="s">
        <v>2</v>
      </c>
      <c r="F74" t="s">
        <v>44</v>
      </c>
      <c r="G74" t="s">
        <v>14</v>
      </c>
      <c r="H74" t="str" cm="1">
        <f t="array" ref="H74">_xlfn.IFS(
OR(G74="Abuja",G74="Fct",G74="Abj"),"Abuja Municipal",
G74="Lagos","Ikeja",
G74="Oyo","Ibadan",
G74="Kano","Kano Municipal",
G74="Enugu","Enugu North",
G74="Rivers","Port Harcourt"
)</f>
        <v>Ibadan</v>
      </c>
      <c r="I74" t="s">
        <v>49</v>
      </c>
      <c r="J74" t="s">
        <v>50</v>
      </c>
      <c r="K74" t="s">
        <v>42</v>
      </c>
      <c r="L74" t="s">
        <v>32</v>
      </c>
      <c r="M74" t="s">
        <v>24</v>
      </c>
      <c r="N74" t="s">
        <v>9</v>
      </c>
      <c r="O74">
        <v>1</v>
      </c>
      <c r="P74">
        <v>78000</v>
      </c>
      <c r="Q74">
        <v>78000</v>
      </c>
      <c r="R74">
        <v>0.05</v>
      </c>
      <c r="S74">
        <v>3900</v>
      </c>
      <c r="T74">
        <v>2500</v>
      </c>
      <c r="U74">
        <v>2800</v>
      </c>
      <c r="V74">
        <v>1170</v>
      </c>
      <c r="W74">
        <v>74100</v>
      </c>
      <c r="X74">
        <v>44460</v>
      </c>
      <c r="Y74">
        <v>28170</v>
      </c>
      <c r="Z74">
        <f t="shared" si="4"/>
        <v>2025</v>
      </c>
      <c r="AA74" t="str">
        <f t="shared" si="5"/>
        <v>August</v>
      </c>
      <c r="AB74">
        <f t="shared" si="6"/>
        <v>8</v>
      </c>
      <c r="AC74" t="str">
        <f t="shared" si="7"/>
        <v>Q3</v>
      </c>
    </row>
    <row r="75" spans="1:29" x14ac:dyDescent="0.35">
      <c r="A75" t="s">
        <v>128</v>
      </c>
      <c r="B75" s="3">
        <v>45996</v>
      </c>
      <c r="C75" s="3">
        <v>45998</v>
      </c>
      <c r="D75" t="s">
        <v>33</v>
      </c>
      <c r="E75" t="s">
        <v>52</v>
      </c>
      <c r="F75" t="s">
        <v>13</v>
      </c>
      <c r="G75" t="s">
        <v>31</v>
      </c>
      <c r="H75" t="str" cm="1">
        <f t="array" ref="H75">_xlfn.IFS(
OR(G75="Abuja",G75="Fct",G75="Abj"),"Abuja Municipal",
G75="Lagos","Ikeja",
G75="Oyo","Ibadan",
G75="Kano","Kano Municipal",
G75="Enugu","Enugu North",
G75="Rivers","Port Harcourt"
)</f>
        <v>Kano Municipal</v>
      </c>
      <c r="I75" t="s">
        <v>15</v>
      </c>
      <c r="J75" t="s">
        <v>16</v>
      </c>
      <c r="K75" t="s">
        <v>17</v>
      </c>
      <c r="L75" t="s">
        <v>8</v>
      </c>
      <c r="M75" t="s">
        <v>303</v>
      </c>
      <c r="N75" t="s">
        <v>46</v>
      </c>
      <c r="O75">
        <v>4</v>
      </c>
      <c r="P75">
        <v>78000</v>
      </c>
      <c r="Q75">
        <v>312000</v>
      </c>
      <c r="R75">
        <v>0.1</v>
      </c>
      <c r="S75">
        <v>31200</v>
      </c>
      <c r="T75">
        <v>1500</v>
      </c>
      <c r="U75">
        <v>1500</v>
      </c>
      <c r="V75">
        <v>4680</v>
      </c>
      <c r="W75">
        <v>280800</v>
      </c>
      <c r="X75">
        <v>196560</v>
      </c>
      <c r="Y75">
        <v>79560</v>
      </c>
      <c r="Z75">
        <f t="shared" si="4"/>
        <v>2025</v>
      </c>
      <c r="AA75" t="str">
        <f t="shared" si="5"/>
        <v>December</v>
      </c>
      <c r="AB75">
        <f t="shared" si="6"/>
        <v>12</v>
      </c>
      <c r="AC75" t="str">
        <f t="shared" si="7"/>
        <v>Q4</v>
      </c>
    </row>
    <row r="76" spans="1:29" x14ac:dyDescent="0.35">
      <c r="A76" t="s">
        <v>129</v>
      </c>
      <c r="B76" s="3">
        <v>45921</v>
      </c>
      <c r="C76" s="3">
        <v>45928</v>
      </c>
      <c r="D76" t="s">
        <v>75</v>
      </c>
      <c r="E76" t="s">
        <v>39</v>
      </c>
      <c r="F76" t="s">
        <v>44</v>
      </c>
      <c r="G76" t="s">
        <v>27</v>
      </c>
      <c r="H76" t="str" cm="1">
        <f t="array" ref="H76">_xlfn.IFS(
OR(G76="Abuja",G76="Fct",G76="Abj"),"Abuja Municipal",
G76="Lagos","Ikeja",
G76="Oyo","Ibadan",
G76="Kano","Kano Municipal",
G76="Enugu","Enugu North",
G76="Rivers","Port Harcourt"
)</f>
        <v>Port Harcourt</v>
      </c>
      <c r="I76" t="s">
        <v>15</v>
      </c>
      <c r="J76" t="s">
        <v>16</v>
      </c>
      <c r="K76" t="s">
        <v>17</v>
      </c>
      <c r="L76" t="s">
        <v>28</v>
      </c>
      <c r="M76" t="s">
        <v>303</v>
      </c>
      <c r="N76" t="s">
        <v>46</v>
      </c>
      <c r="O76">
        <v>1</v>
      </c>
      <c r="P76">
        <v>6500</v>
      </c>
      <c r="Q76">
        <v>6500</v>
      </c>
      <c r="R76">
        <v>0.1</v>
      </c>
      <c r="S76">
        <v>650</v>
      </c>
      <c r="T76">
        <v>3000</v>
      </c>
      <c r="U76">
        <v>3200</v>
      </c>
      <c r="V76">
        <v>97.5</v>
      </c>
      <c r="W76">
        <v>5850</v>
      </c>
      <c r="X76">
        <v>3217.5</v>
      </c>
      <c r="Y76">
        <v>2335</v>
      </c>
      <c r="Z76">
        <f t="shared" si="4"/>
        <v>2025</v>
      </c>
      <c r="AA76" t="str">
        <f t="shared" si="5"/>
        <v>September</v>
      </c>
      <c r="AB76">
        <f t="shared" si="6"/>
        <v>9</v>
      </c>
      <c r="AC76" t="str">
        <f t="shared" si="7"/>
        <v>Q3</v>
      </c>
    </row>
    <row r="77" spans="1:29" x14ac:dyDescent="0.35">
      <c r="A77" t="s">
        <v>130</v>
      </c>
      <c r="B77" s="3">
        <v>45806</v>
      </c>
      <c r="C77" s="3">
        <v>45810</v>
      </c>
      <c r="D77" t="s">
        <v>75</v>
      </c>
      <c r="E77" t="s">
        <v>48</v>
      </c>
      <c r="F77" t="s">
        <v>44</v>
      </c>
      <c r="G77" t="s">
        <v>53</v>
      </c>
      <c r="H77" t="str" cm="1">
        <f t="array" ref="H77">_xlfn.IFS(
OR(G77="Abuja",G77="Fct",G77="Abj"),"Abuja Municipal",
G77="Lagos","Ikeja",
G77="Oyo","Ibadan",
G77="Kano","Kano Municipal",
G77="Enugu","Enugu North",
G77="Rivers","Port Harcourt"
)</f>
        <v>Ikeja</v>
      </c>
      <c r="I77" t="s">
        <v>21</v>
      </c>
      <c r="J77" t="s">
        <v>22</v>
      </c>
      <c r="K77" t="s">
        <v>23</v>
      </c>
      <c r="L77" t="s">
        <v>8</v>
      </c>
      <c r="M77" t="s">
        <v>18</v>
      </c>
      <c r="N77" t="s">
        <v>9</v>
      </c>
      <c r="O77">
        <v>5</v>
      </c>
      <c r="P77">
        <v>32000</v>
      </c>
      <c r="Q77">
        <v>160000</v>
      </c>
      <c r="R77">
        <v>0.15</v>
      </c>
      <c r="S77">
        <v>24000</v>
      </c>
      <c r="T77">
        <v>3500</v>
      </c>
      <c r="U77">
        <v>1000</v>
      </c>
      <c r="V77">
        <v>2400</v>
      </c>
      <c r="W77">
        <v>136000</v>
      </c>
      <c r="X77">
        <v>88400</v>
      </c>
      <c r="Y77">
        <v>47700</v>
      </c>
      <c r="Z77">
        <f t="shared" si="4"/>
        <v>2025</v>
      </c>
      <c r="AA77" t="str">
        <f t="shared" si="5"/>
        <v>May</v>
      </c>
      <c r="AB77">
        <f t="shared" si="6"/>
        <v>5</v>
      </c>
      <c r="AC77" t="str">
        <f t="shared" si="7"/>
        <v>Q2</v>
      </c>
    </row>
    <row r="78" spans="1:29" x14ac:dyDescent="0.35">
      <c r="A78" t="s">
        <v>131</v>
      </c>
      <c r="B78" s="3">
        <v>45738</v>
      </c>
      <c r="C78" s="3">
        <v>45742</v>
      </c>
      <c r="D78" t="s">
        <v>71</v>
      </c>
      <c r="E78" t="s">
        <v>48</v>
      </c>
      <c r="F78" t="s">
        <v>44</v>
      </c>
      <c r="G78" t="s">
        <v>53</v>
      </c>
      <c r="H78" t="str" cm="1">
        <f t="array" ref="H78">_xlfn.IFS(
OR(G78="Abuja",G78="Fct",G78="Abj"),"Abuja Municipal",
G78="Lagos","Ikeja",
G78="Oyo","Ibadan",
G78="Kano","Kano Municipal",
G78="Enugu","Enugu North",
G78="Rivers","Port Harcourt"
)</f>
        <v>Ikeja</v>
      </c>
      <c r="I78" t="s">
        <v>56</v>
      </c>
      <c r="J78" t="s">
        <v>57</v>
      </c>
      <c r="K78" t="s">
        <v>17</v>
      </c>
      <c r="L78" t="s">
        <v>28</v>
      </c>
      <c r="M78" t="s">
        <v>18</v>
      </c>
      <c r="N78" t="s">
        <v>9</v>
      </c>
      <c r="O78">
        <v>2</v>
      </c>
      <c r="P78">
        <v>6500</v>
      </c>
      <c r="Q78">
        <v>13000</v>
      </c>
      <c r="R78">
        <v>0.2</v>
      </c>
      <c r="S78">
        <v>2600</v>
      </c>
      <c r="T78">
        <v>3500</v>
      </c>
      <c r="U78">
        <v>1500</v>
      </c>
      <c r="V78">
        <v>195</v>
      </c>
      <c r="W78">
        <v>10400</v>
      </c>
      <c r="X78">
        <v>6240</v>
      </c>
      <c r="Y78">
        <v>5965</v>
      </c>
      <c r="Z78">
        <f t="shared" si="4"/>
        <v>2025</v>
      </c>
      <c r="AA78" t="str">
        <f t="shared" si="5"/>
        <v>March</v>
      </c>
      <c r="AB78">
        <f t="shared" si="6"/>
        <v>3</v>
      </c>
      <c r="AC78" t="str">
        <f t="shared" si="7"/>
        <v>Q1</v>
      </c>
    </row>
    <row r="79" spans="1:29" x14ac:dyDescent="0.35">
      <c r="A79" t="s">
        <v>132</v>
      </c>
      <c r="B79" s="3">
        <v>45872</v>
      </c>
      <c r="C79" s="3">
        <v>45879</v>
      </c>
      <c r="D79" t="s">
        <v>75</v>
      </c>
      <c r="E79" t="s">
        <v>48</v>
      </c>
      <c r="F79" t="s">
        <v>44</v>
      </c>
      <c r="G79" t="s">
        <v>35</v>
      </c>
      <c r="H79" t="str" cm="1">
        <f t="array" ref="H79">_xlfn.IFS(
OR(G79="Abuja",G79="Fct",G79="Abj"),"Abuja Municipal",
G79="Lagos","Ikeja",
G79="Oyo","Ibadan",
G79="Kano","Kano Municipal",
G79="Enugu","Enugu North",
G79="Rivers","Port Harcourt"
)</f>
        <v>Abuja Municipal</v>
      </c>
      <c r="I79" t="s">
        <v>21</v>
      </c>
      <c r="J79" t="s">
        <v>22</v>
      </c>
      <c r="K79" t="s">
        <v>23</v>
      </c>
      <c r="L79" t="s">
        <v>28</v>
      </c>
      <c r="M79" t="s">
        <v>18</v>
      </c>
      <c r="N79" t="s">
        <v>9</v>
      </c>
      <c r="O79">
        <v>5</v>
      </c>
      <c r="P79">
        <v>15000</v>
      </c>
      <c r="Q79">
        <v>75000</v>
      </c>
      <c r="R79">
        <v>0.15</v>
      </c>
      <c r="S79">
        <v>11250</v>
      </c>
      <c r="T79">
        <v>2000</v>
      </c>
      <c r="U79">
        <v>1500</v>
      </c>
      <c r="V79">
        <v>1125</v>
      </c>
      <c r="W79">
        <v>63750</v>
      </c>
      <c r="X79">
        <v>41437.5</v>
      </c>
      <c r="Y79">
        <v>21687.5</v>
      </c>
      <c r="Z79">
        <f t="shared" si="4"/>
        <v>2025</v>
      </c>
      <c r="AA79" t="str">
        <f t="shared" si="5"/>
        <v>August</v>
      </c>
      <c r="AB79">
        <f t="shared" si="6"/>
        <v>8</v>
      </c>
      <c r="AC79" t="str">
        <f t="shared" si="7"/>
        <v>Q3</v>
      </c>
    </row>
    <row r="80" spans="1:29" x14ac:dyDescent="0.35">
      <c r="A80" t="s">
        <v>133</v>
      </c>
      <c r="B80" s="3">
        <v>45855</v>
      </c>
      <c r="C80" s="3">
        <v>45861</v>
      </c>
      <c r="D80" t="s">
        <v>1</v>
      </c>
      <c r="E80" t="s">
        <v>39</v>
      </c>
      <c r="F80" t="s">
        <v>44</v>
      </c>
      <c r="G80" t="s">
        <v>35</v>
      </c>
      <c r="H80" t="str" cm="1">
        <f t="array" ref="H80">_xlfn.IFS(
OR(G80="Abuja",G80="Fct",G80="Abj"),"Abuja Municipal",
G80="Lagos","Ikeja",
G80="Oyo","Ibadan",
G80="Kano","Kano Municipal",
G80="Enugu","Enugu North",
G80="Rivers","Port Harcourt"
)</f>
        <v>Abuja Municipal</v>
      </c>
      <c r="I80" t="s">
        <v>56</v>
      </c>
      <c r="J80" t="s">
        <v>57</v>
      </c>
      <c r="K80" t="s">
        <v>17</v>
      </c>
      <c r="L80" t="s">
        <v>28</v>
      </c>
      <c r="M80" t="s">
        <v>24</v>
      </c>
      <c r="N80" t="s">
        <v>9</v>
      </c>
      <c r="O80">
        <v>4</v>
      </c>
      <c r="P80">
        <v>6500</v>
      </c>
      <c r="Q80">
        <v>26000</v>
      </c>
      <c r="R80">
        <v>0.05</v>
      </c>
      <c r="S80">
        <v>1300</v>
      </c>
      <c r="T80">
        <v>2000</v>
      </c>
      <c r="U80">
        <v>1500</v>
      </c>
      <c r="V80">
        <v>390</v>
      </c>
      <c r="W80">
        <v>24700</v>
      </c>
      <c r="X80">
        <v>16055</v>
      </c>
      <c r="Y80">
        <v>8755</v>
      </c>
      <c r="Z80">
        <f t="shared" si="4"/>
        <v>2025</v>
      </c>
      <c r="AA80" t="str">
        <f t="shared" si="5"/>
        <v>July</v>
      </c>
      <c r="AB80">
        <f t="shared" si="6"/>
        <v>7</v>
      </c>
      <c r="AC80" t="str">
        <f t="shared" si="7"/>
        <v>Q3</v>
      </c>
    </row>
    <row r="81" spans="1:29" x14ac:dyDescent="0.35">
      <c r="A81" t="s">
        <v>134</v>
      </c>
      <c r="B81" s="3">
        <v>45857</v>
      </c>
      <c r="C81" s="3">
        <v>45862</v>
      </c>
      <c r="D81" t="s">
        <v>75</v>
      </c>
      <c r="E81" t="s">
        <v>12</v>
      </c>
      <c r="F81" t="s">
        <v>13</v>
      </c>
      <c r="G81" t="s">
        <v>27</v>
      </c>
      <c r="H81" t="str" cm="1">
        <f t="array" ref="H81">_xlfn.IFS(
OR(G81="Abuja",G81="Fct",G81="Abj"),"Abuja Municipal",
G81="Lagos","Ikeja",
G81="Oyo","Ibadan",
G81="Kano","Kano Municipal",
G81="Enugu","Enugu North",
G81="Rivers","Port Harcourt"
)</f>
        <v>Port Harcourt</v>
      </c>
      <c r="I81" t="s">
        <v>21</v>
      </c>
      <c r="J81" t="s">
        <v>22</v>
      </c>
      <c r="K81" t="s">
        <v>23</v>
      </c>
      <c r="L81" t="s">
        <v>32</v>
      </c>
      <c r="M81" t="s">
        <v>18</v>
      </c>
      <c r="N81" t="s">
        <v>9</v>
      </c>
      <c r="O81">
        <v>5</v>
      </c>
      <c r="P81">
        <v>78000</v>
      </c>
      <c r="Q81">
        <v>390000</v>
      </c>
      <c r="R81">
        <v>0.15</v>
      </c>
      <c r="S81">
        <v>58500</v>
      </c>
      <c r="T81">
        <v>3500</v>
      </c>
      <c r="U81">
        <v>1800</v>
      </c>
      <c r="V81">
        <v>5850</v>
      </c>
      <c r="W81">
        <v>331500</v>
      </c>
      <c r="X81">
        <v>198900</v>
      </c>
      <c r="Y81">
        <v>128450</v>
      </c>
      <c r="Z81">
        <f t="shared" si="4"/>
        <v>2025</v>
      </c>
      <c r="AA81" t="str">
        <f t="shared" si="5"/>
        <v>July</v>
      </c>
      <c r="AB81">
        <f t="shared" si="6"/>
        <v>7</v>
      </c>
      <c r="AC81" t="str">
        <f t="shared" si="7"/>
        <v>Q3</v>
      </c>
    </row>
    <row r="82" spans="1:29" x14ac:dyDescent="0.35">
      <c r="A82" t="s">
        <v>135</v>
      </c>
      <c r="B82" s="3">
        <v>45682</v>
      </c>
      <c r="C82" s="3">
        <v>45687</v>
      </c>
      <c r="D82" t="s">
        <v>20</v>
      </c>
      <c r="E82" t="s">
        <v>2</v>
      </c>
      <c r="F82" t="s">
        <v>44</v>
      </c>
      <c r="G82" t="s">
        <v>31</v>
      </c>
      <c r="H82" t="str" cm="1">
        <f t="array" ref="H82">_xlfn.IFS(
OR(G82="Abuja",G82="Fct",G82="Abj"),"Abuja Municipal",
G82="Lagos","Ikeja",
G82="Oyo","Ibadan",
G82="Kano","Kano Municipal",
G82="Enugu","Enugu North",
G82="Rivers","Port Harcourt"
)</f>
        <v>Kano Municipal</v>
      </c>
      <c r="I82" t="s">
        <v>40</v>
      </c>
      <c r="J82" t="s">
        <v>41</v>
      </c>
      <c r="K82" t="s">
        <v>42</v>
      </c>
      <c r="L82" t="s">
        <v>28</v>
      </c>
      <c r="M82" t="s">
        <v>18</v>
      </c>
      <c r="N82" t="s">
        <v>9</v>
      </c>
      <c r="O82">
        <v>4</v>
      </c>
      <c r="P82">
        <v>45000</v>
      </c>
      <c r="Q82">
        <v>180000</v>
      </c>
      <c r="R82">
        <v>0</v>
      </c>
      <c r="S82">
        <v>0</v>
      </c>
      <c r="T82">
        <v>3500</v>
      </c>
      <c r="U82">
        <v>2800</v>
      </c>
      <c r="V82">
        <v>2700</v>
      </c>
      <c r="W82">
        <v>180000</v>
      </c>
      <c r="X82">
        <v>117000</v>
      </c>
      <c r="Y82">
        <v>61000</v>
      </c>
      <c r="Z82">
        <f t="shared" si="4"/>
        <v>2025</v>
      </c>
      <c r="AA82" t="str">
        <f t="shared" si="5"/>
        <v>January</v>
      </c>
      <c r="AB82">
        <f t="shared" si="6"/>
        <v>1</v>
      </c>
      <c r="AC82" t="str">
        <f t="shared" si="7"/>
        <v>Q1</v>
      </c>
    </row>
    <row r="83" spans="1:29" x14ac:dyDescent="0.35">
      <c r="A83" t="s">
        <v>136</v>
      </c>
      <c r="B83" s="3">
        <v>45746</v>
      </c>
      <c r="C83" s="3">
        <v>45752</v>
      </c>
      <c r="D83" t="s">
        <v>71</v>
      </c>
      <c r="E83" t="s">
        <v>52</v>
      </c>
      <c r="F83" t="s">
        <v>44</v>
      </c>
      <c r="G83" t="s">
        <v>14</v>
      </c>
      <c r="H83" t="str" cm="1">
        <f t="array" ref="H83">_xlfn.IFS(
OR(G83="Abuja",G83="Fct",G83="Abj"),"Abuja Municipal",
G83="Lagos","Ikeja",
G83="Oyo","Ibadan",
G83="Kano","Kano Municipal",
G83="Enugu","Enugu North",
G83="Rivers","Port Harcourt"
)</f>
        <v>Ibadan</v>
      </c>
      <c r="I83" t="s">
        <v>15</v>
      </c>
      <c r="J83" t="s">
        <v>16</v>
      </c>
      <c r="K83" t="s">
        <v>17</v>
      </c>
      <c r="L83" t="s">
        <v>28</v>
      </c>
      <c r="M83" t="s">
        <v>18</v>
      </c>
      <c r="N83" t="s">
        <v>9</v>
      </c>
      <c r="O83">
        <v>4</v>
      </c>
      <c r="P83">
        <v>6500</v>
      </c>
      <c r="Q83">
        <v>26000</v>
      </c>
      <c r="R83">
        <v>0.05</v>
      </c>
      <c r="S83">
        <v>1300</v>
      </c>
      <c r="T83">
        <v>3000</v>
      </c>
      <c r="U83">
        <v>3200</v>
      </c>
      <c r="V83">
        <v>390</v>
      </c>
      <c r="W83">
        <v>24700</v>
      </c>
      <c r="X83">
        <v>13585</v>
      </c>
      <c r="Y83">
        <v>10525</v>
      </c>
      <c r="Z83">
        <f t="shared" si="4"/>
        <v>2025</v>
      </c>
      <c r="AA83" t="str">
        <f t="shared" si="5"/>
        <v>March</v>
      </c>
      <c r="AB83">
        <f t="shared" si="6"/>
        <v>3</v>
      </c>
      <c r="AC83" t="str">
        <f t="shared" si="7"/>
        <v>Q1</v>
      </c>
    </row>
    <row r="84" spans="1:29" x14ac:dyDescent="0.35">
      <c r="A84" t="s">
        <v>137</v>
      </c>
      <c r="B84" s="3">
        <v>45925</v>
      </c>
      <c r="C84" s="3">
        <v>45929</v>
      </c>
      <c r="D84" t="s">
        <v>20</v>
      </c>
      <c r="E84" t="s">
        <v>39</v>
      </c>
      <c r="F84" t="s">
        <v>13</v>
      </c>
      <c r="G84" t="s">
        <v>14</v>
      </c>
      <c r="H84" t="str" cm="1">
        <f t="array" ref="H84">_xlfn.IFS(
OR(G84="Abuja",G84="Fct",G84="Abj"),"Abuja Municipal",
G84="Lagos","Ikeja",
G84="Oyo","Ibadan",
G84="Kano","Kano Municipal",
G84="Enugu","Enugu North",
G84="Rivers","Port Harcourt"
)</f>
        <v>Ibadan</v>
      </c>
      <c r="I84" t="s">
        <v>49</v>
      </c>
      <c r="J84" t="s">
        <v>50</v>
      </c>
      <c r="K84" t="s">
        <v>42</v>
      </c>
      <c r="L84" t="s">
        <v>32</v>
      </c>
      <c r="M84" t="s">
        <v>18</v>
      </c>
      <c r="N84" t="s">
        <v>9</v>
      </c>
      <c r="O84">
        <v>4</v>
      </c>
      <c r="P84">
        <v>18500</v>
      </c>
      <c r="Q84">
        <v>74000</v>
      </c>
      <c r="R84">
        <v>0.05</v>
      </c>
      <c r="S84">
        <v>3700</v>
      </c>
      <c r="T84">
        <v>2500</v>
      </c>
      <c r="U84">
        <v>2200</v>
      </c>
      <c r="V84">
        <v>1110</v>
      </c>
      <c r="W84">
        <v>70300</v>
      </c>
      <c r="X84">
        <v>49210</v>
      </c>
      <c r="Y84">
        <v>20280</v>
      </c>
      <c r="Z84">
        <f t="shared" si="4"/>
        <v>2025</v>
      </c>
      <c r="AA84" t="str">
        <f t="shared" si="5"/>
        <v>September</v>
      </c>
      <c r="AB84">
        <f t="shared" si="6"/>
        <v>9</v>
      </c>
      <c r="AC84" t="str">
        <f t="shared" si="7"/>
        <v>Q3</v>
      </c>
    </row>
    <row r="85" spans="1:29" x14ac:dyDescent="0.35">
      <c r="A85" t="s">
        <v>138</v>
      </c>
      <c r="B85" s="3">
        <v>45800</v>
      </c>
      <c r="C85" s="3">
        <v>45804</v>
      </c>
      <c r="D85" t="s">
        <v>20</v>
      </c>
      <c r="E85" t="s">
        <v>48</v>
      </c>
      <c r="F85" t="s">
        <v>44</v>
      </c>
      <c r="G85" t="s">
        <v>31</v>
      </c>
      <c r="H85" t="str" cm="1">
        <f t="array" ref="H85">_xlfn.IFS(
OR(G85="Abuja",G85="Fct",G85="Abj"),"Abuja Municipal",
G85="Lagos","Ikeja",
G85="Oyo","Ibadan",
G85="Kano","Kano Municipal",
G85="Enugu","Enugu North",
G85="Rivers","Port Harcourt"
)</f>
        <v>Kano Municipal</v>
      </c>
      <c r="I85" t="s">
        <v>56</v>
      </c>
      <c r="J85" t="s">
        <v>57</v>
      </c>
      <c r="K85" t="s">
        <v>17</v>
      </c>
      <c r="L85" t="s">
        <v>32</v>
      </c>
      <c r="M85" t="s">
        <v>303</v>
      </c>
      <c r="N85" t="s">
        <v>9</v>
      </c>
      <c r="O85">
        <v>4</v>
      </c>
      <c r="P85">
        <v>45000</v>
      </c>
      <c r="Q85">
        <v>180000</v>
      </c>
      <c r="R85">
        <v>0.2</v>
      </c>
      <c r="S85">
        <v>36000</v>
      </c>
      <c r="T85">
        <v>2000</v>
      </c>
      <c r="U85">
        <v>3200</v>
      </c>
      <c r="V85">
        <v>2700</v>
      </c>
      <c r="W85">
        <v>144000</v>
      </c>
      <c r="X85">
        <v>100800</v>
      </c>
      <c r="Y85">
        <v>39300</v>
      </c>
      <c r="Z85">
        <f t="shared" si="4"/>
        <v>2025</v>
      </c>
      <c r="AA85" t="str">
        <f t="shared" si="5"/>
        <v>May</v>
      </c>
      <c r="AB85">
        <f t="shared" si="6"/>
        <v>5</v>
      </c>
      <c r="AC85" t="str">
        <f t="shared" si="7"/>
        <v>Q2</v>
      </c>
    </row>
    <row r="86" spans="1:29" x14ac:dyDescent="0.35">
      <c r="A86" t="s">
        <v>139</v>
      </c>
      <c r="B86" s="3">
        <v>45716</v>
      </c>
      <c r="C86" s="3">
        <v>45720</v>
      </c>
      <c r="D86" t="s">
        <v>38</v>
      </c>
      <c r="E86" t="s">
        <v>55</v>
      </c>
      <c r="F86" t="s">
        <v>13</v>
      </c>
      <c r="G86" t="s">
        <v>53</v>
      </c>
      <c r="H86" t="str" cm="1">
        <f t="array" ref="H86">_xlfn.IFS(
OR(G86="Abuja",G86="Fct",G86="Abj"),"Abuja Municipal",
G86="Lagos","Ikeja",
G86="Oyo","Ibadan",
G86="Kano","Kano Municipal",
G86="Enugu","Enugu North",
G86="Rivers","Port Harcourt"
)</f>
        <v>Ikeja</v>
      </c>
      <c r="I86" t="s">
        <v>5</v>
      </c>
      <c r="J86" t="s">
        <v>6</v>
      </c>
      <c r="K86" t="s">
        <v>7</v>
      </c>
      <c r="L86" t="s">
        <v>28</v>
      </c>
      <c r="M86" t="s">
        <v>18</v>
      </c>
      <c r="N86" t="s">
        <v>9</v>
      </c>
      <c r="O86">
        <v>4</v>
      </c>
      <c r="P86">
        <v>32000</v>
      </c>
      <c r="Q86">
        <v>128000</v>
      </c>
      <c r="R86">
        <v>0.1</v>
      </c>
      <c r="S86">
        <v>12800</v>
      </c>
      <c r="T86">
        <v>2500</v>
      </c>
      <c r="U86">
        <v>2200</v>
      </c>
      <c r="V86">
        <v>1920</v>
      </c>
      <c r="W86">
        <v>115200</v>
      </c>
      <c r="X86">
        <v>63360</v>
      </c>
      <c r="Y86">
        <v>50220</v>
      </c>
      <c r="Z86">
        <f t="shared" si="4"/>
        <v>2025</v>
      </c>
      <c r="AA86" t="str">
        <f t="shared" si="5"/>
        <v>February</v>
      </c>
      <c r="AB86">
        <f t="shared" si="6"/>
        <v>2</v>
      </c>
      <c r="AC86" t="str">
        <f t="shared" si="7"/>
        <v>Q1</v>
      </c>
    </row>
    <row r="87" spans="1:29" x14ac:dyDescent="0.35">
      <c r="A87" t="s">
        <v>140</v>
      </c>
      <c r="B87" s="3">
        <v>46022</v>
      </c>
      <c r="C87" s="3">
        <v>46024</v>
      </c>
      <c r="D87" t="s">
        <v>71</v>
      </c>
      <c r="E87" t="s">
        <v>34</v>
      </c>
      <c r="F87" t="s">
        <v>44</v>
      </c>
      <c r="G87" t="s">
        <v>4</v>
      </c>
      <c r="H87" t="str" cm="1">
        <f t="array" ref="H87">_xlfn.IFS(
OR(G87="Abuja",G87="Fct",G87="Abj"),"Abuja Municipal",
G87="Lagos","Ikeja",
G87="Oyo","Ibadan",
G87="Kano","Kano Municipal",
G87="Enugu","Enugu North",
G87="Rivers","Port Harcourt"
)</f>
        <v>Enugu North</v>
      </c>
      <c r="I87" t="s">
        <v>56</v>
      </c>
      <c r="J87" t="s">
        <v>57</v>
      </c>
      <c r="K87" t="s">
        <v>17</v>
      </c>
      <c r="L87" t="s">
        <v>32</v>
      </c>
      <c r="M87" t="s">
        <v>18</v>
      </c>
      <c r="N87" t="s">
        <v>9</v>
      </c>
      <c r="O87">
        <v>2</v>
      </c>
      <c r="P87">
        <v>32000</v>
      </c>
      <c r="Q87">
        <v>64000</v>
      </c>
      <c r="R87">
        <v>0.05</v>
      </c>
      <c r="S87">
        <v>3200</v>
      </c>
      <c r="T87">
        <v>3000</v>
      </c>
      <c r="U87">
        <v>1800</v>
      </c>
      <c r="V87">
        <v>960</v>
      </c>
      <c r="W87">
        <v>60800</v>
      </c>
      <c r="X87">
        <v>39520</v>
      </c>
      <c r="Y87">
        <v>21520</v>
      </c>
      <c r="Z87">
        <f t="shared" si="4"/>
        <v>2025</v>
      </c>
      <c r="AA87" t="str">
        <f t="shared" si="5"/>
        <v>December</v>
      </c>
      <c r="AB87">
        <f t="shared" si="6"/>
        <v>12</v>
      </c>
      <c r="AC87" t="str">
        <f t="shared" si="7"/>
        <v>Q4</v>
      </c>
    </row>
    <row r="88" spans="1:29" x14ac:dyDescent="0.35">
      <c r="A88" t="s">
        <v>141</v>
      </c>
      <c r="B88" s="3">
        <v>45683</v>
      </c>
      <c r="C88" s="3">
        <v>45687</v>
      </c>
      <c r="D88" t="s">
        <v>20</v>
      </c>
      <c r="E88" t="s">
        <v>52</v>
      </c>
      <c r="F88" t="s">
        <v>13</v>
      </c>
      <c r="G88" t="s">
        <v>35</v>
      </c>
      <c r="H88" t="str" cm="1">
        <f t="array" ref="H88">_xlfn.IFS(
OR(G88="Abuja",G88="Fct",G88="Abj"),"Abuja Municipal",
G88="Lagos","Ikeja",
G88="Oyo","Ibadan",
G88="Kano","Kano Municipal",
G88="Enugu","Enugu North",
G88="Rivers","Port Harcourt"
)</f>
        <v>Abuja Municipal</v>
      </c>
      <c r="I88" t="s">
        <v>49</v>
      </c>
      <c r="J88" t="s">
        <v>50</v>
      </c>
      <c r="K88" t="s">
        <v>42</v>
      </c>
      <c r="L88" t="s">
        <v>8</v>
      </c>
      <c r="M88" t="s">
        <v>303</v>
      </c>
      <c r="N88" t="s">
        <v>9</v>
      </c>
      <c r="O88">
        <v>1</v>
      </c>
      <c r="P88">
        <v>6500</v>
      </c>
      <c r="Q88">
        <v>6500</v>
      </c>
      <c r="R88">
        <v>0.1</v>
      </c>
      <c r="S88">
        <v>650</v>
      </c>
      <c r="T88">
        <v>3500</v>
      </c>
      <c r="U88">
        <v>1500</v>
      </c>
      <c r="V88">
        <v>97.5</v>
      </c>
      <c r="W88">
        <v>5850</v>
      </c>
      <c r="X88">
        <v>3510</v>
      </c>
      <c r="Y88">
        <v>4242.5</v>
      </c>
      <c r="Z88">
        <f t="shared" si="4"/>
        <v>2025</v>
      </c>
      <c r="AA88" t="str">
        <f t="shared" si="5"/>
        <v>January</v>
      </c>
      <c r="AB88">
        <f t="shared" si="6"/>
        <v>1</v>
      </c>
      <c r="AC88" t="str">
        <f t="shared" si="7"/>
        <v>Q1</v>
      </c>
    </row>
    <row r="89" spans="1:29" x14ac:dyDescent="0.35">
      <c r="A89" t="s">
        <v>142</v>
      </c>
      <c r="B89" s="3">
        <v>45704</v>
      </c>
      <c r="C89" s="3">
        <v>45707</v>
      </c>
      <c r="D89" t="s">
        <v>38</v>
      </c>
      <c r="E89" t="s">
        <v>39</v>
      </c>
      <c r="F89" t="s">
        <v>44</v>
      </c>
      <c r="G89" t="s">
        <v>14</v>
      </c>
      <c r="H89" t="str" cm="1">
        <f t="array" ref="H89">_xlfn.IFS(
OR(G89="Abuja",G89="Fct",G89="Abj"),"Abuja Municipal",
G89="Lagos","Ikeja",
G89="Oyo","Ibadan",
G89="Kano","Kano Municipal",
G89="Enugu","Enugu North",
G89="Rivers","Port Harcourt"
)</f>
        <v>Ibadan</v>
      </c>
      <c r="I89" t="s">
        <v>21</v>
      </c>
      <c r="J89" t="s">
        <v>22</v>
      </c>
      <c r="K89" t="s">
        <v>23</v>
      </c>
      <c r="L89" t="s">
        <v>8</v>
      </c>
      <c r="M89" t="s">
        <v>303</v>
      </c>
      <c r="N89" t="s">
        <v>9</v>
      </c>
      <c r="O89">
        <v>3</v>
      </c>
      <c r="P89">
        <v>45000</v>
      </c>
      <c r="Q89">
        <v>135000</v>
      </c>
      <c r="R89">
        <v>0.15</v>
      </c>
      <c r="S89">
        <v>20250</v>
      </c>
      <c r="T89">
        <v>2500</v>
      </c>
      <c r="U89">
        <v>1800</v>
      </c>
      <c r="V89">
        <v>2025</v>
      </c>
      <c r="W89">
        <v>114750</v>
      </c>
      <c r="X89">
        <v>74587.5</v>
      </c>
      <c r="Y89">
        <v>38837.5</v>
      </c>
      <c r="Z89">
        <f t="shared" si="4"/>
        <v>2025</v>
      </c>
      <c r="AA89" t="str">
        <f t="shared" si="5"/>
        <v>February</v>
      </c>
      <c r="AB89">
        <f t="shared" si="6"/>
        <v>2</v>
      </c>
      <c r="AC89" t="str">
        <f t="shared" si="7"/>
        <v>Q1</v>
      </c>
    </row>
    <row r="90" spans="1:29" x14ac:dyDescent="0.35">
      <c r="A90" t="s">
        <v>143</v>
      </c>
      <c r="B90" s="3">
        <v>45945</v>
      </c>
      <c r="C90" s="3">
        <v>45946</v>
      </c>
      <c r="D90" t="s">
        <v>38</v>
      </c>
      <c r="E90" t="s">
        <v>30</v>
      </c>
      <c r="F90" t="s">
        <v>44</v>
      </c>
      <c r="G90" t="s">
        <v>27</v>
      </c>
      <c r="H90" t="str" cm="1">
        <f t="array" ref="H90">_xlfn.IFS(
OR(G90="Abuja",G90="Fct",G90="Abj"),"Abuja Municipal",
G90="Lagos","Ikeja",
G90="Oyo","Ibadan",
G90="Kano","Kano Municipal",
G90="Enugu","Enugu North",
G90="Rivers","Port Harcourt"
)</f>
        <v>Port Harcourt</v>
      </c>
      <c r="I90" t="s">
        <v>56</v>
      </c>
      <c r="J90" t="s">
        <v>57</v>
      </c>
      <c r="K90" t="s">
        <v>17</v>
      </c>
      <c r="L90" t="s">
        <v>32</v>
      </c>
      <c r="M90" t="s">
        <v>303</v>
      </c>
      <c r="N90" t="s">
        <v>9</v>
      </c>
      <c r="O90">
        <v>1</v>
      </c>
      <c r="P90">
        <v>78000</v>
      </c>
      <c r="Q90">
        <v>78000</v>
      </c>
      <c r="R90">
        <v>0</v>
      </c>
      <c r="S90">
        <v>0</v>
      </c>
      <c r="T90">
        <v>3500</v>
      </c>
      <c r="U90">
        <v>1800</v>
      </c>
      <c r="V90">
        <v>1170</v>
      </c>
      <c r="W90">
        <v>78000</v>
      </c>
      <c r="X90">
        <v>42900</v>
      </c>
      <c r="Y90">
        <v>35630</v>
      </c>
      <c r="Z90">
        <f t="shared" si="4"/>
        <v>2025</v>
      </c>
      <c r="AA90" t="str">
        <f t="shared" si="5"/>
        <v>October</v>
      </c>
      <c r="AB90">
        <f t="shared" si="6"/>
        <v>10</v>
      </c>
      <c r="AC90" t="str">
        <f t="shared" si="7"/>
        <v>Q4</v>
      </c>
    </row>
    <row r="91" spans="1:29" x14ac:dyDescent="0.35">
      <c r="A91" t="s">
        <v>144</v>
      </c>
      <c r="B91" s="3">
        <v>45923</v>
      </c>
      <c r="C91" s="3">
        <v>45927</v>
      </c>
      <c r="D91" t="s">
        <v>71</v>
      </c>
      <c r="E91" t="s">
        <v>39</v>
      </c>
      <c r="F91" t="s">
        <v>44</v>
      </c>
      <c r="G91" t="s">
        <v>35</v>
      </c>
      <c r="H91" t="str" cm="1">
        <f t="array" ref="H91">_xlfn.IFS(
OR(G91="Abuja",G91="Fct",G91="Abj"),"Abuja Municipal",
G91="Lagos","Ikeja",
G91="Oyo","Ibadan",
G91="Kano","Kano Municipal",
G91="Enugu","Enugu North",
G91="Rivers","Port Harcourt"
)</f>
        <v>Abuja Municipal</v>
      </c>
      <c r="I91" t="s">
        <v>86</v>
      </c>
      <c r="J91" t="s">
        <v>87</v>
      </c>
      <c r="K91" t="s">
        <v>23</v>
      </c>
      <c r="L91" t="s">
        <v>32</v>
      </c>
      <c r="M91" t="s">
        <v>18</v>
      </c>
      <c r="N91" t="s">
        <v>9</v>
      </c>
      <c r="O91">
        <v>4</v>
      </c>
      <c r="P91">
        <v>78000</v>
      </c>
      <c r="Q91">
        <v>312000</v>
      </c>
      <c r="R91">
        <v>0.2</v>
      </c>
      <c r="S91">
        <v>62400</v>
      </c>
      <c r="T91">
        <v>3500</v>
      </c>
      <c r="U91">
        <v>1000</v>
      </c>
      <c r="V91">
        <v>4680</v>
      </c>
      <c r="W91">
        <v>249600</v>
      </c>
      <c r="X91">
        <v>162240</v>
      </c>
      <c r="Y91">
        <v>85180</v>
      </c>
      <c r="Z91">
        <f t="shared" si="4"/>
        <v>2025</v>
      </c>
      <c r="AA91" t="str">
        <f t="shared" si="5"/>
        <v>September</v>
      </c>
      <c r="AB91">
        <f t="shared" si="6"/>
        <v>9</v>
      </c>
      <c r="AC91" t="str">
        <f t="shared" si="7"/>
        <v>Q3</v>
      </c>
    </row>
    <row r="92" spans="1:29" x14ac:dyDescent="0.35">
      <c r="A92" t="s">
        <v>145</v>
      </c>
      <c r="B92" s="3">
        <v>45673</v>
      </c>
      <c r="C92" s="3">
        <v>45679</v>
      </c>
      <c r="D92" t="s">
        <v>26</v>
      </c>
      <c r="E92" t="s">
        <v>2</v>
      </c>
      <c r="F92" t="s">
        <v>44</v>
      </c>
      <c r="G92" t="s">
        <v>27</v>
      </c>
      <c r="H92" t="str" cm="1">
        <f t="array" ref="H92">_xlfn.IFS(
OR(G92="Abuja",G92="Fct",G92="Abj"),"Abuja Municipal",
G92="Lagos","Ikeja",
G92="Oyo","Ibadan",
G92="Kano","Kano Municipal",
G92="Enugu","Enugu North",
G92="Rivers","Port Harcourt"
)</f>
        <v>Port Harcourt</v>
      </c>
      <c r="I92" t="s">
        <v>40</v>
      </c>
      <c r="J92" t="s">
        <v>41</v>
      </c>
      <c r="K92" t="s">
        <v>42</v>
      </c>
      <c r="L92" t="s">
        <v>28</v>
      </c>
      <c r="M92" t="s">
        <v>24</v>
      </c>
      <c r="N92" t="s">
        <v>9</v>
      </c>
      <c r="O92">
        <v>2</v>
      </c>
      <c r="P92">
        <v>120000</v>
      </c>
      <c r="Q92">
        <v>240000</v>
      </c>
      <c r="R92">
        <v>0.1</v>
      </c>
      <c r="S92">
        <v>24000</v>
      </c>
      <c r="T92">
        <v>1500</v>
      </c>
      <c r="U92">
        <v>2800</v>
      </c>
      <c r="V92">
        <v>3600</v>
      </c>
      <c r="W92">
        <v>216000</v>
      </c>
      <c r="X92">
        <v>151200</v>
      </c>
      <c r="Y92">
        <v>59900</v>
      </c>
      <c r="Z92">
        <f t="shared" si="4"/>
        <v>2025</v>
      </c>
      <c r="AA92" t="str">
        <f t="shared" si="5"/>
        <v>January</v>
      </c>
      <c r="AB92">
        <f t="shared" si="6"/>
        <v>1</v>
      </c>
      <c r="AC92" t="str">
        <f t="shared" si="7"/>
        <v>Q1</v>
      </c>
    </row>
    <row r="93" spans="1:29" x14ac:dyDescent="0.35">
      <c r="A93" t="s">
        <v>146</v>
      </c>
      <c r="B93" s="3">
        <v>45856</v>
      </c>
      <c r="C93" s="3">
        <v>45857</v>
      </c>
      <c r="D93" t="s">
        <v>33</v>
      </c>
      <c r="E93" t="s">
        <v>2</v>
      </c>
      <c r="F93" t="s">
        <v>44</v>
      </c>
      <c r="G93" t="s">
        <v>53</v>
      </c>
      <c r="H93" t="str" cm="1">
        <f t="array" ref="H93">_xlfn.IFS(
OR(G93="Abuja",G93="Fct",G93="Abj"),"Abuja Municipal",
G93="Lagos","Ikeja",
G93="Oyo","Ibadan",
G93="Kano","Kano Municipal",
G93="Enugu","Enugu North",
G93="Rivers","Port Harcourt"
)</f>
        <v>Ikeja</v>
      </c>
      <c r="I93" t="s">
        <v>15</v>
      </c>
      <c r="J93" t="s">
        <v>16</v>
      </c>
      <c r="K93" t="s">
        <v>17</v>
      </c>
      <c r="L93" t="s">
        <v>32</v>
      </c>
      <c r="M93" t="s">
        <v>24</v>
      </c>
      <c r="N93" t="s">
        <v>36</v>
      </c>
      <c r="O93">
        <v>5</v>
      </c>
      <c r="P93">
        <v>32000</v>
      </c>
      <c r="Q93">
        <v>160000</v>
      </c>
      <c r="R93">
        <v>0.05</v>
      </c>
      <c r="S93">
        <v>8000</v>
      </c>
      <c r="T93">
        <v>2500</v>
      </c>
      <c r="U93">
        <v>2200</v>
      </c>
      <c r="V93">
        <v>2400</v>
      </c>
      <c r="W93">
        <v>152000</v>
      </c>
      <c r="X93">
        <v>98800</v>
      </c>
      <c r="Y93">
        <v>51100</v>
      </c>
      <c r="Z93">
        <f t="shared" si="4"/>
        <v>2025</v>
      </c>
      <c r="AA93" t="str">
        <f t="shared" si="5"/>
        <v>July</v>
      </c>
      <c r="AB93">
        <f t="shared" si="6"/>
        <v>7</v>
      </c>
      <c r="AC93" t="str">
        <f t="shared" si="7"/>
        <v>Q3</v>
      </c>
    </row>
    <row r="94" spans="1:29" x14ac:dyDescent="0.35">
      <c r="A94" t="s">
        <v>147</v>
      </c>
      <c r="B94" s="3">
        <v>45939</v>
      </c>
      <c r="C94" s="3">
        <v>45941</v>
      </c>
      <c r="D94" t="s">
        <v>1</v>
      </c>
      <c r="E94" t="s">
        <v>39</v>
      </c>
      <c r="F94" t="s">
        <v>44</v>
      </c>
      <c r="G94" t="s">
        <v>53</v>
      </c>
      <c r="H94" t="str" cm="1">
        <f t="array" ref="H94">_xlfn.IFS(
OR(G94="Abuja",G94="Fct",G94="Abj"),"Abuja Municipal",
G94="Lagos","Ikeja",
G94="Oyo","Ibadan",
G94="Kano","Kano Municipal",
G94="Enugu","Enugu North",
G94="Rivers","Port Harcourt"
)</f>
        <v>Ikeja</v>
      </c>
      <c r="I94" t="s">
        <v>49</v>
      </c>
      <c r="J94" t="s">
        <v>50</v>
      </c>
      <c r="K94" t="s">
        <v>42</v>
      </c>
      <c r="L94" t="s">
        <v>28</v>
      </c>
      <c r="M94" t="s">
        <v>24</v>
      </c>
      <c r="N94" t="s">
        <v>9</v>
      </c>
      <c r="O94">
        <v>2</v>
      </c>
      <c r="P94">
        <v>25500</v>
      </c>
      <c r="Q94">
        <v>51000</v>
      </c>
      <c r="R94">
        <v>0.1</v>
      </c>
      <c r="S94">
        <v>5100</v>
      </c>
      <c r="T94">
        <v>2500</v>
      </c>
      <c r="U94">
        <v>1500</v>
      </c>
      <c r="V94">
        <v>765</v>
      </c>
      <c r="W94">
        <v>45900</v>
      </c>
      <c r="X94">
        <v>25245</v>
      </c>
      <c r="Y94">
        <v>20890</v>
      </c>
      <c r="Z94">
        <f t="shared" si="4"/>
        <v>2025</v>
      </c>
      <c r="AA94" t="str">
        <f t="shared" si="5"/>
        <v>October</v>
      </c>
      <c r="AB94">
        <f t="shared" si="6"/>
        <v>10</v>
      </c>
      <c r="AC94" t="str">
        <f t="shared" si="7"/>
        <v>Q4</v>
      </c>
    </row>
    <row r="95" spans="1:29" x14ac:dyDescent="0.35">
      <c r="A95" t="s">
        <v>148</v>
      </c>
      <c r="B95" s="3">
        <v>45743</v>
      </c>
      <c r="C95" s="3">
        <v>45749</v>
      </c>
      <c r="D95" t="s">
        <v>33</v>
      </c>
      <c r="E95" t="s">
        <v>48</v>
      </c>
      <c r="F95" t="s">
        <v>3</v>
      </c>
      <c r="G95" t="s">
        <v>35</v>
      </c>
      <c r="H95" t="str" cm="1">
        <f t="array" ref="H95">_xlfn.IFS(
OR(G95="Abuja",G95="Fct",G95="Abj"),"Abuja Municipal",
G95="Lagos","Ikeja",
G95="Oyo","Ibadan",
G95="Kano","Kano Municipal",
G95="Enugu","Enugu North",
G95="Rivers","Port Harcourt"
)</f>
        <v>Abuja Municipal</v>
      </c>
      <c r="I95" t="s">
        <v>15</v>
      </c>
      <c r="J95" t="s">
        <v>16</v>
      </c>
      <c r="K95" t="s">
        <v>17</v>
      </c>
      <c r="L95" t="s">
        <v>8</v>
      </c>
      <c r="M95" t="s">
        <v>18</v>
      </c>
      <c r="N95" t="s">
        <v>9</v>
      </c>
      <c r="O95">
        <v>4</v>
      </c>
      <c r="P95">
        <v>120000</v>
      </c>
      <c r="Q95">
        <v>480000</v>
      </c>
      <c r="R95">
        <v>0.05</v>
      </c>
      <c r="S95">
        <v>24000</v>
      </c>
      <c r="T95">
        <v>3500</v>
      </c>
      <c r="U95">
        <v>2200</v>
      </c>
      <c r="V95">
        <v>7200</v>
      </c>
      <c r="W95">
        <v>456000</v>
      </c>
      <c r="X95">
        <v>319200</v>
      </c>
      <c r="Y95">
        <v>130900</v>
      </c>
      <c r="Z95">
        <f t="shared" si="4"/>
        <v>2025</v>
      </c>
      <c r="AA95" t="str">
        <f t="shared" si="5"/>
        <v>March</v>
      </c>
      <c r="AB95">
        <f t="shared" si="6"/>
        <v>3</v>
      </c>
      <c r="AC95" t="str">
        <f t="shared" si="7"/>
        <v>Q1</v>
      </c>
    </row>
    <row r="96" spans="1:29" x14ac:dyDescent="0.35">
      <c r="A96" t="s">
        <v>149</v>
      </c>
      <c r="B96" s="3">
        <v>45907</v>
      </c>
      <c r="C96" s="3">
        <v>45908</v>
      </c>
      <c r="D96" t="s">
        <v>75</v>
      </c>
      <c r="E96" t="s">
        <v>34</v>
      </c>
      <c r="F96" t="s">
        <v>13</v>
      </c>
      <c r="G96" t="s">
        <v>35</v>
      </c>
      <c r="H96" t="str" cm="1">
        <f t="array" ref="H96">_xlfn.IFS(
OR(G96="Abuja",G96="Fct",G96="Abj"),"Abuja Municipal",
G96="Lagos","Ikeja",
G96="Oyo","Ibadan",
G96="Kano","Kano Municipal",
G96="Enugu","Enugu North",
G96="Rivers","Port Harcourt"
)</f>
        <v>Abuja Municipal</v>
      </c>
      <c r="I96" t="s">
        <v>86</v>
      </c>
      <c r="J96" t="s">
        <v>87</v>
      </c>
      <c r="K96" t="s">
        <v>23</v>
      </c>
      <c r="L96" t="s">
        <v>32</v>
      </c>
      <c r="M96" t="s">
        <v>303</v>
      </c>
      <c r="N96" t="s">
        <v>9</v>
      </c>
      <c r="O96">
        <v>2</v>
      </c>
      <c r="P96">
        <v>78000</v>
      </c>
      <c r="Q96">
        <v>156000</v>
      </c>
      <c r="R96">
        <v>0.1</v>
      </c>
      <c r="S96">
        <v>15600</v>
      </c>
      <c r="T96">
        <v>3000</v>
      </c>
      <c r="U96">
        <v>3200</v>
      </c>
      <c r="V96">
        <v>2340</v>
      </c>
      <c r="W96">
        <v>140400</v>
      </c>
      <c r="X96">
        <v>91260</v>
      </c>
      <c r="Y96">
        <v>46600</v>
      </c>
      <c r="Z96">
        <f t="shared" si="4"/>
        <v>2025</v>
      </c>
      <c r="AA96" t="str">
        <f t="shared" si="5"/>
        <v>September</v>
      </c>
      <c r="AB96">
        <f t="shared" si="6"/>
        <v>9</v>
      </c>
      <c r="AC96" t="str">
        <f t="shared" si="7"/>
        <v>Q3</v>
      </c>
    </row>
    <row r="97" spans="1:29" x14ac:dyDescent="0.35">
      <c r="A97" t="s">
        <v>150</v>
      </c>
      <c r="B97" s="3">
        <v>45927</v>
      </c>
      <c r="C97" s="3">
        <v>45933</v>
      </c>
      <c r="D97" t="s">
        <v>1</v>
      </c>
      <c r="E97" t="s">
        <v>52</v>
      </c>
      <c r="F97" t="s">
        <v>3</v>
      </c>
      <c r="G97" t="s">
        <v>14</v>
      </c>
      <c r="H97" t="str" cm="1">
        <f t="array" ref="H97">_xlfn.IFS(
OR(G97="Abuja",G97="Fct",G97="Abj"),"Abuja Municipal",
G97="Lagos","Ikeja",
G97="Oyo","Ibadan",
G97="Kano","Kano Municipal",
G97="Enugu","Enugu North",
G97="Rivers","Port Harcourt"
)</f>
        <v>Ibadan</v>
      </c>
      <c r="I97" t="s">
        <v>56</v>
      </c>
      <c r="J97" t="s">
        <v>57</v>
      </c>
      <c r="K97" t="s">
        <v>17</v>
      </c>
      <c r="L97" t="s">
        <v>28</v>
      </c>
      <c r="M97" t="s">
        <v>24</v>
      </c>
      <c r="N97" t="s">
        <v>9</v>
      </c>
      <c r="O97">
        <v>2</v>
      </c>
      <c r="P97">
        <v>45000</v>
      </c>
      <c r="Q97">
        <v>90000</v>
      </c>
      <c r="R97">
        <v>0.05</v>
      </c>
      <c r="S97">
        <v>4500</v>
      </c>
      <c r="T97">
        <v>1500</v>
      </c>
      <c r="U97">
        <v>2200</v>
      </c>
      <c r="V97">
        <v>1350</v>
      </c>
      <c r="W97">
        <v>85500</v>
      </c>
      <c r="X97">
        <v>55575</v>
      </c>
      <c r="Y97">
        <v>27875</v>
      </c>
      <c r="Z97">
        <f t="shared" si="4"/>
        <v>2025</v>
      </c>
      <c r="AA97" t="str">
        <f t="shared" si="5"/>
        <v>September</v>
      </c>
      <c r="AB97">
        <f t="shared" si="6"/>
        <v>9</v>
      </c>
      <c r="AC97" t="str">
        <f t="shared" si="7"/>
        <v>Q3</v>
      </c>
    </row>
    <row r="98" spans="1:29" x14ac:dyDescent="0.35">
      <c r="A98" t="s">
        <v>151</v>
      </c>
      <c r="B98" s="3">
        <v>45992</v>
      </c>
      <c r="C98" s="3">
        <v>45994</v>
      </c>
      <c r="D98" t="s">
        <v>75</v>
      </c>
      <c r="E98" t="s">
        <v>2</v>
      </c>
      <c r="F98" t="s">
        <v>44</v>
      </c>
      <c r="G98" t="s">
        <v>35</v>
      </c>
      <c r="H98" t="str" cm="1">
        <f t="array" ref="H98">_xlfn.IFS(
OR(G98="Abuja",G98="Fct",G98="Abj"),"Abuja Municipal",
G98="Lagos","Ikeja",
G98="Oyo","Ibadan",
G98="Kano","Kano Municipal",
G98="Enugu","Enugu North",
G98="Rivers","Port Harcourt"
)</f>
        <v>Abuja Municipal</v>
      </c>
      <c r="I98" t="s">
        <v>56</v>
      </c>
      <c r="J98" t="s">
        <v>57</v>
      </c>
      <c r="K98" t="s">
        <v>17</v>
      </c>
      <c r="L98" t="s">
        <v>28</v>
      </c>
      <c r="M98" t="s">
        <v>18</v>
      </c>
      <c r="N98" t="s">
        <v>46</v>
      </c>
      <c r="O98">
        <v>4</v>
      </c>
      <c r="P98">
        <v>15000</v>
      </c>
      <c r="Q98">
        <v>60000</v>
      </c>
      <c r="R98">
        <v>0.15</v>
      </c>
      <c r="S98">
        <v>9000</v>
      </c>
      <c r="T98">
        <v>3500</v>
      </c>
      <c r="U98">
        <v>3200</v>
      </c>
      <c r="V98">
        <v>900</v>
      </c>
      <c r="W98">
        <v>51000</v>
      </c>
      <c r="X98">
        <v>35700</v>
      </c>
      <c r="Y98">
        <v>14700</v>
      </c>
      <c r="Z98">
        <f t="shared" si="4"/>
        <v>2025</v>
      </c>
      <c r="AA98" t="str">
        <f t="shared" si="5"/>
        <v>December</v>
      </c>
      <c r="AB98">
        <f t="shared" si="6"/>
        <v>12</v>
      </c>
      <c r="AC98" t="str">
        <f t="shared" si="7"/>
        <v>Q4</v>
      </c>
    </row>
    <row r="99" spans="1:29" x14ac:dyDescent="0.35">
      <c r="A99" t="s">
        <v>152</v>
      </c>
      <c r="B99" s="3">
        <v>45774</v>
      </c>
      <c r="C99" s="3">
        <v>45777</v>
      </c>
      <c r="D99" t="s">
        <v>20</v>
      </c>
      <c r="E99" t="s">
        <v>52</v>
      </c>
      <c r="F99" t="s">
        <v>44</v>
      </c>
      <c r="G99" t="s">
        <v>35</v>
      </c>
      <c r="H99" t="str" cm="1">
        <f t="array" ref="H99">_xlfn.IFS(
OR(G99="Abuja",G99="Fct",G99="Abj"),"Abuja Municipal",
G99="Lagos","Ikeja",
G99="Oyo","Ibadan",
G99="Kano","Kano Municipal",
G99="Enugu","Enugu North",
G99="Rivers","Port Harcourt"
)</f>
        <v>Abuja Municipal</v>
      </c>
      <c r="I99" t="s">
        <v>5</v>
      </c>
      <c r="J99" t="s">
        <v>6</v>
      </c>
      <c r="K99" t="s">
        <v>7</v>
      </c>
      <c r="L99" t="s">
        <v>8</v>
      </c>
      <c r="M99" t="s">
        <v>24</v>
      </c>
      <c r="N99" t="s">
        <v>9</v>
      </c>
      <c r="O99">
        <v>2</v>
      </c>
      <c r="P99">
        <v>78000</v>
      </c>
      <c r="Q99">
        <v>156000</v>
      </c>
      <c r="R99">
        <v>0.05</v>
      </c>
      <c r="S99">
        <v>7800</v>
      </c>
      <c r="T99">
        <v>2000</v>
      </c>
      <c r="U99">
        <v>2800</v>
      </c>
      <c r="V99">
        <v>2340</v>
      </c>
      <c r="W99">
        <v>148200</v>
      </c>
      <c r="X99">
        <v>88920</v>
      </c>
      <c r="Y99">
        <v>56140</v>
      </c>
      <c r="Z99">
        <f t="shared" si="4"/>
        <v>2025</v>
      </c>
      <c r="AA99" t="str">
        <f t="shared" si="5"/>
        <v>April</v>
      </c>
      <c r="AB99">
        <f t="shared" si="6"/>
        <v>4</v>
      </c>
      <c r="AC99" t="str">
        <f t="shared" si="7"/>
        <v>Q2</v>
      </c>
    </row>
    <row r="100" spans="1:29" x14ac:dyDescent="0.35">
      <c r="A100" t="s">
        <v>153</v>
      </c>
      <c r="B100" s="3">
        <v>45664</v>
      </c>
      <c r="C100" s="3">
        <v>45666</v>
      </c>
      <c r="D100" t="s">
        <v>65</v>
      </c>
      <c r="E100" t="s">
        <v>48</v>
      </c>
      <c r="F100" t="s">
        <v>44</v>
      </c>
      <c r="G100" t="s">
        <v>35</v>
      </c>
      <c r="H100" t="str" cm="1">
        <f t="array" ref="H100">_xlfn.IFS(
OR(G100="Abuja",G100="Fct",G100="Abj"),"Abuja Municipal",
G100="Lagos","Ikeja",
G100="Oyo","Ibadan",
G100="Kano","Kano Municipal",
G100="Enugu","Enugu North",
G100="Rivers","Port Harcourt"
)</f>
        <v>Abuja Municipal</v>
      </c>
      <c r="I100" t="s">
        <v>86</v>
      </c>
      <c r="J100" t="s">
        <v>87</v>
      </c>
      <c r="K100" t="s">
        <v>23</v>
      </c>
      <c r="L100" t="s">
        <v>32</v>
      </c>
      <c r="M100" t="s">
        <v>18</v>
      </c>
      <c r="N100" t="s">
        <v>9</v>
      </c>
      <c r="O100">
        <v>3</v>
      </c>
      <c r="P100">
        <v>45000</v>
      </c>
      <c r="Q100">
        <v>135000</v>
      </c>
      <c r="R100">
        <v>0.05</v>
      </c>
      <c r="S100">
        <v>6750</v>
      </c>
      <c r="T100">
        <v>2000</v>
      </c>
      <c r="U100">
        <v>3200</v>
      </c>
      <c r="V100">
        <v>2025</v>
      </c>
      <c r="W100">
        <v>128250</v>
      </c>
      <c r="X100">
        <v>89775</v>
      </c>
      <c r="Y100">
        <v>35250</v>
      </c>
      <c r="Z100">
        <f t="shared" si="4"/>
        <v>2025</v>
      </c>
      <c r="AA100" t="str">
        <f t="shared" si="5"/>
        <v>January</v>
      </c>
      <c r="AB100">
        <f t="shared" si="6"/>
        <v>1</v>
      </c>
      <c r="AC100" t="str">
        <f t="shared" si="7"/>
        <v>Q1</v>
      </c>
    </row>
    <row r="101" spans="1:29" x14ac:dyDescent="0.35">
      <c r="A101" t="s">
        <v>154</v>
      </c>
      <c r="B101" s="3">
        <v>45794</v>
      </c>
      <c r="C101" s="3">
        <v>45796</v>
      </c>
      <c r="D101" t="s">
        <v>71</v>
      </c>
      <c r="E101" t="s">
        <v>52</v>
      </c>
      <c r="F101" t="s">
        <v>44</v>
      </c>
      <c r="G101" t="s">
        <v>4</v>
      </c>
      <c r="H101" t="str" cm="1">
        <f t="array" ref="H101">_xlfn.IFS(
OR(G101="Abuja",G101="Fct",G101="Abj"),"Abuja Municipal",
G101="Lagos","Ikeja",
G101="Oyo","Ibadan",
G101="Kano","Kano Municipal",
G101="Enugu","Enugu North",
G101="Rivers","Port Harcourt"
)</f>
        <v>Enugu North</v>
      </c>
      <c r="I101" t="s">
        <v>49</v>
      </c>
      <c r="J101" t="s">
        <v>50</v>
      </c>
      <c r="K101" t="s">
        <v>42</v>
      </c>
      <c r="L101" t="s">
        <v>8</v>
      </c>
      <c r="M101" t="s">
        <v>24</v>
      </c>
      <c r="N101" t="s">
        <v>9</v>
      </c>
      <c r="O101">
        <v>3</v>
      </c>
      <c r="P101">
        <v>120000</v>
      </c>
      <c r="Q101">
        <v>360000</v>
      </c>
      <c r="R101">
        <v>0</v>
      </c>
      <c r="S101">
        <v>0</v>
      </c>
      <c r="T101">
        <v>1500</v>
      </c>
      <c r="U101">
        <v>2200</v>
      </c>
      <c r="V101">
        <v>5400</v>
      </c>
      <c r="W101">
        <v>360000</v>
      </c>
      <c r="X101">
        <v>216000</v>
      </c>
      <c r="Y101">
        <v>137900</v>
      </c>
      <c r="Z101">
        <f t="shared" si="4"/>
        <v>2025</v>
      </c>
      <c r="AA101" t="str">
        <f t="shared" si="5"/>
        <v>May</v>
      </c>
      <c r="AB101">
        <f t="shared" si="6"/>
        <v>5</v>
      </c>
      <c r="AC101" t="str">
        <f t="shared" si="7"/>
        <v>Q2</v>
      </c>
    </row>
    <row r="102" spans="1:29" x14ac:dyDescent="0.35">
      <c r="A102" t="s">
        <v>155</v>
      </c>
      <c r="B102" s="3">
        <v>45833</v>
      </c>
      <c r="C102" s="3">
        <v>45839</v>
      </c>
      <c r="D102" t="s">
        <v>1</v>
      </c>
      <c r="E102" t="s">
        <v>55</v>
      </c>
      <c r="F102" t="s">
        <v>44</v>
      </c>
      <c r="G102" t="s">
        <v>35</v>
      </c>
      <c r="H102" t="str" cm="1">
        <f t="array" ref="H102">_xlfn.IFS(
OR(G102="Abuja",G102="Fct",G102="Abj"),"Abuja Municipal",
G102="Lagos","Ikeja",
G102="Oyo","Ibadan",
G102="Kano","Kano Municipal",
G102="Enugu","Enugu North",
G102="Rivers","Port Harcourt"
)</f>
        <v>Abuja Municipal</v>
      </c>
      <c r="I102" t="s">
        <v>5</v>
      </c>
      <c r="J102" t="s">
        <v>6</v>
      </c>
      <c r="K102" t="s">
        <v>7</v>
      </c>
      <c r="L102" t="s">
        <v>28</v>
      </c>
      <c r="M102" t="s">
        <v>24</v>
      </c>
      <c r="N102" t="s">
        <v>9</v>
      </c>
      <c r="O102">
        <v>2</v>
      </c>
      <c r="P102">
        <v>32000</v>
      </c>
      <c r="Q102">
        <v>64000</v>
      </c>
      <c r="R102">
        <v>0.05</v>
      </c>
      <c r="S102">
        <v>3200</v>
      </c>
      <c r="T102">
        <v>3000</v>
      </c>
      <c r="U102">
        <v>2200</v>
      </c>
      <c r="V102">
        <v>960</v>
      </c>
      <c r="W102">
        <v>60800</v>
      </c>
      <c r="X102">
        <v>33440</v>
      </c>
      <c r="Y102">
        <v>27200</v>
      </c>
      <c r="Z102">
        <f t="shared" si="4"/>
        <v>2025</v>
      </c>
      <c r="AA102" t="str">
        <f t="shared" si="5"/>
        <v>June</v>
      </c>
      <c r="AB102">
        <f t="shared" si="6"/>
        <v>6</v>
      </c>
      <c r="AC102" t="str">
        <f t="shared" si="7"/>
        <v>Q2</v>
      </c>
    </row>
    <row r="103" spans="1:29" x14ac:dyDescent="0.35">
      <c r="A103" t="s">
        <v>156</v>
      </c>
      <c r="B103" s="3">
        <v>45985</v>
      </c>
      <c r="C103" s="3">
        <v>45992</v>
      </c>
      <c r="D103" t="s">
        <v>1</v>
      </c>
      <c r="E103" t="s">
        <v>2</v>
      </c>
      <c r="F103" t="s">
        <v>44</v>
      </c>
      <c r="G103" t="s">
        <v>27</v>
      </c>
      <c r="H103" t="str" cm="1">
        <f t="array" ref="H103">_xlfn.IFS(
OR(G103="Abuja",G103="Fct",G103="Abj"),"Abuja Municipal",
G103="Lagos","Ikeja",
G103="Oyo","Ibadan",
G103="Kano","Kano Municipal",
G103="Enugu","Enugu North",
G103="Rivers","Port Harcourt"
)</f>
        <v>Port Harcourt</v>
      </c>
      <c r="I103" t="s">
        <v>40</v>
      </c>
      <c r="J103" t="s">
        <v>41</v>
      </c>
      <c r="K103" t="s">
        <v>42</v>
      </c>
      <c r="L103" t="s">
        <v>28</v>
      </c>
      <c r="M103" t="s">
        <v>303</v>
      </c>
      <c r="N103" t="s">
        <v>46</v>
      </c>
      <c r="O103">
        <v>5</v>
      </c>
      <c r="P103">
        <v>78000</v>
      </c>
      <c r="Q103">
        <v>390000</v>
      </c>
      <c r="R103">
        <v>0</v>
      </c>
      <c r="S103">
        <v>0</v>
      </c>
      <c r="T103">
        <v>3500</v>
      </c>
      <c r="U103">
        <v>3200</v>
      </c>
      <c r="V103">
        <v>5850</v>
      </c>
      <c r="W103">
        <v>390000</v>
      </c>
      <c r="X103">
        <v>214500</v>
      </c>
      <c r="Y103">
        <v>169950</v>
      </c>
      <c r="Z103">
        <f t="shared" si="4"/>
        <v>2025</v>
      </c>
      <c r="AA103" t="str">
        <f t="shared" si="5"/>
        <v>November</v>
      </c>
      <c r="AB103">
        <f t="shared" si="6"/>
        <v>11</v>
      </c>
      <c r="AC103" t="str">
        <f t="shared" si="7"/>
        <v>Q4</v>
      </c>
    </row>
    <row r="104" spans="1:29" x14ac:dyDescent="0.35">
      <c r="A104" t="s">
        <v>157</v>
      </c>
      <c r="B104" s="3">
        <v>45972</v>
      </c>
      <c r="C104" s="3">
        <v>45977</v>
      </c>
      <c r="D104" t="s">
        <v>20</v>
      </c>
      <c r="E104" t="s">
        <v>48</v>
      </c>
      <c r="F104" t="s">
        <v>44</v>
      </c>
      <c r="G104" t="s">
        <v>53</v>
      </c>
      <c r="H104" t="str" cm="1">
        <f t="array" ref="H104">_xlfn.IFS(
OR(G104="Abuja",G104="Fct",G104="Abj"),"Abuja Municipal",
G104="Lagos","Ikeja",
G104="Oyo","Ibadan",
G104="Kano","Kano Municipal",
G104="Enugu","Enugu North",
G104="Rivers","Port Harcourt"
)</f>
        <v>Ikeja</v>
      </c>
      <c r="I104" t="s">
        <v>5</v>
      </c>
      <c r="J104" t="s">
        <v>6</v>
      </c>
      <c r="K104" t="s">
        <v>7</v>
      </c>
      <c r="L104" t="s">
        <v>32</v>
      </c>
      <c r="M104" t="s">
        <v>18</v>
      </c>
      <c r="N104" t="s">
        <v>9</v>
      </c>
      <c r="O104">
        <v>4</v>
      </c>
      <c r="P104">
        <v>6500</v>
      </c>
      <c r="Q104">
        <v>26000</v>
      </c>
      <c r="R104">
        <v>0.2</v>
      </c>
      <c r="S104">
        <v>5200</v>
      </c>
      <c r="T104">
        <v>2500</v>
      </c>
      <c r="U104">
        <v>1800</v>
      </c>
      <c r="V104">
        <v>390</v>
      </c>
      <c r="W104">
        <v>20800</v>
      </c>
      <c r="X104">
        <v>14560</v>
      </c>
      <c r="Y104">
        <v>6550</v>
      </c>
      <c r="Z104">
        <f t="shared" si="4"/>
        <v>2025</v>
      </c>
      <c r="AA104" t="str">
        <f t="shared" si="5"/>
        <v>November</v>
      </c>
      <c r="AB104">
        <f t="shared" si="6"/>
        <v>11</v>
      </c>
      <c r="AC104" t="str">
        <f t="shared" si="7"/>
        <v>Q4</v>
      </c>
    </row>
    <row r="105" spans="1:29" x14ac:dyDescent="0.35">
      <c r="A105" t="s">
        <v>158</v>
      </c>
      <c r="B105" s="3">
        <v>45872</v>
      </c>
      <c r="C105" s="3">
        <v>45876</v>
      </c>
      <c r="D105" t="s">
        <v>26</v>
      </c>
      <c r="E105" t="s">
        <v>48</v>
      </c>
      <c r="F105" t="s">
        <v>44</v>
      </c>
      <c r="G105" t="s">
        <v>53</v>
      </c>
      <c r="H105" t="str" cm="1">
        <f t="array" ref="H105">_xlfn.IFS(
OR(G105="Abuja",G105="Fct",G105="Abj"),"Abuja Municipal",
G105="Lagos","Ikeja",
G105="Oyo","Ibadan",
G105="Kano","Kano Municipal",
G105="Enugu","Enugu North",
G105="Rivers","Port Harcourt"
)</f>
        <v>Ikeja</v>
      </c>
      <c r="I105" t="s">
        <v>59</v>
      </c>
      <c r="J105" t="s">
        <v>60</v>
      </c>
      <c r="K105" t="s">
        <v>42</v>
      </c>
      <c r="L105" t="s">
        <v>28</v>
      </c>
      <c r="M105" t="s">
        <v>303</v>
      </c>
      <c r="N105" t="s">
        <v>9</v>
      </c>
      <c r="O105">
        <v>3</v>
      </c>
      <c r="P105">
        <v>45000</v>
      </c>
      <c r="Q105">
        <v>135000</v>
      </c>
      <c r="R105">
        <v>0</v>
      </c>
      <c r="S105">
        <v>0</v>
      </c>
      <c r="T105">
        <v>1500</v>
      </c>
      <c r="U105">
        <v>2800</v>
      </c>
      <c r="V105">
        <v>2025</v>
      </c>
      <c r="W105">
        <v>135000</v>
      </c>
      <c r="X105">
        <v>94500</v>
      </c>
      <c r="Y105">
        <v>37175</v>
      </c>
      <c r="Z105">
        <f t="shared" si="4"/>
        <v>2025</v>
      </c>
      <c r="AA105" t="str">
        <f t="shared" si="5"/>
        <v>August</v>
      </c>
      <c r="AB105">
        <f t="shared" si="6"/>
        <v>8</v>
      </c>
      <c r="AC105" t="str">
        <f t="shared" si="7"/>
        <v>Q3</v>
      </c>
    </row>
    <row r="106" spans="1:29" x14ac:dyDescent="0.35">
      <c r="A106" t="s">
        <v>159</v>
      </c>
      <c r="B106" s="3">
        <v>45739</v>
      </c>
      <c r="C106" s="3">
        <v>45743</v>
      </c>
      <c r="D106" t="s">
        <v>38</v>
      </c>
      <c r="E106" t="s">
        <v>34</v>
      </c>
      <c r="F106" t="s">
        <v>44</v>
      </c>
      <c r="G106" t="s">
        <v>31</v>
      </c>
      <c r="H106" t="str" cm="1">
        <f t="array" ref="H106">_xlfn.IFS(
OR(G106="Abuja",G106="Fct",G106="Abj"),"Abuja Municipal",
G106="Lagos","Ikeja",
G106="Oyo","Ibadan",
G106="Kano","Kano Municipal",
G106="Enugu","Enugu North",
G106="Rivers","Port Harcourt"
)</f>
        <v>Kano Municipal</v>
      </c>
      <c r="I106" t="s">
        <v>49</v>
      </c>
      <c r="J106" t="s">
        <v>50</v>
      </c>
      <c r="K106" t="s">
        <v>42</v>
      </c>
      <c r="L106" t="s">
        <v>32</v>
      </c>
      <c r="M106" t="s">
        <v>303</v>
      </c>
      <c r="N106" t="s">
        <v>9</v>
      </c>
      <c r="O106">
        <v>5</v>
      </c>
      <c r="P106">
        <v>32000</v>
      </c>
      <c r="Q106">
        <v>160000</v>
      </c>
      <c r="R106">
        <v>0.15</v>
      </c>
      <c r="S106">
        <v>24000</v>
      </c>
      <c r="T106">
        <v>3000</v>
      </c>
      <c r="U106">
        <v>1000</v>
      </c>
      <c r="V106">
        <v>2400</v>
      </c>
      <c r="W106">
        <v>136000</v>
      </c>
      <c r="X106">
        <v>74800</v>
      </c>
      <c r="Y106">
        <v>60800</v>
      </c>
      <c r="Z106">
        <f t="shared" si="4"/>
        <v>2025</v>
      </c>
      <c r="AA106" t="str">
        <f t="shared" si="5"/>
        <v>March</v>
      </c>
      <c r="AB106">
        <f t="shared" si="6"/>
        <v>3</v>
      </c>
      <c r="AC106" t="str">
        <f t="shared" si="7"/>
        <v>Q1</v>
      </c>
    </row>
    <row r="107" spans="1:29" x14ac:dyDescent="0.35">
      <c r="A107" t="s">
        <v>160</v>
      </c>
      <c r="B107" s="3">
        <v>45880</v>
      </c>
      <c r="C107" s="3">
        <v>45883</v>
      </c>
      <c r="D107" t="s">
        <v>20</v>
      </c>
      <c r="E107" t="s">
        <v>34</v>
      </c>
      <c r="F107" t="s">
        <v>44</v>
      </c>
      <c r="G107" t="s">
        <v>35</v>
      </c>
      <c r="H107" t="str" cm="1">
        <f t="array" ref="H107">_xlfn.IFS(
OR(G107="Abuja",G107="Fct",G107="Abj"),"Abuja Municipal",
G107="Lagos","Ikeja",
G107="Oyo","Ibadan",
G107="Kano","Kano Municipal",
G107="Enugu","Enugu North",
G107="Rivers","Port Harcourt"
)</f>
        <v>Abuja Municipal</v>
      </c>
      <c r="I107" t="s">
        <v>59</v>
      </c>
      <c r="J107" t="s">
        <v>60</v>
      </c>
      <c r="K107" t="s">
        <v>42</v>
      </c>
      <c r="L107" t="s">
        <v>8</v>
      </c>
      <c r="M107" t="s">
        <v>303</v>
      </c>
      <c r="N107" t="s">
        <v>9</v>
      </c>
      <c r="O107">
        <v>2</v>
      </c>
      <c r="P107">
        <v>15000</v>
      </c>
      <c r="Q107">
        <v>30000</v>
      </c>
      <c r="R107">
        <v>0</v>
      </c>
      <c r="S107">
        <v>0</v>
      </c>
      <c r="T107">
        <v>2500</v>
      </c>
      <c r="U107">
        <v>1500</v>
      </c>
      <c r="V107">
        <v>450</v>
      </c>
      <c r="W107">
        <v>30000</v>
      </c>
      <c r="X107">
        <v>18000</v>
      </c>
      <c r="Y107">
        <v>12550</v>
      </c>
      <c r="Z107">
        <f t="shared" si="4"/>
        <v>2025</v>
      </c>
      <c r="AA107" t="str">
        <f t="shared" si="5"/>
        <v>August</v>
      </c>
      <c r="AB107">
        <f t="shared" si="6"/>
        <v>8</v>
      </c>
      <c r="AC107" t="str">
        <f t="shared" si="7"/>
        <v>Q3</v>
      </c>
    </row>
    <row r="108" spans="1:29" x14ac:dyDescent="0.35">
      <c r="A108" t="s">
        <v>161</v>
      </c>
      <c r="B108" s="3">
        <v>45760</v>
      </c>
      <c r="C108" s="3">
        <v>45763</v>
      </c>
      <c r="D108" t="s">
        <v>62</v>
      </c>
      <c r="E108" t="s">
        <v>55</v>
      </c>
      <c r="F108" t="s">
        <v>13</v>
      </c>
      <c r="G108" t="s">
        <v>14</v>
      </c>
      <c r="H108" t="str" cm="1">
        <f t="array" ref="H108">_xlfn.IFS(
OR(G108="Abuja",G108="Fct",G108="Abj"),"Abuja Municipal",
G108="Lagos","Ikeja",
G108="Oyo","Ibadan",
G108="Kano","Kano Municipal",
G108="Enugu","Enugu North",
G108="Rivers","Port Harcourt"
)</f>
        <v>Ibadan</v>
      </c>
      <c r="I108" t="s">
        <v>86</v>
      </c>
      <c r="J108" t="s">
        <v>87</v>
      </c>
      <c r="K108" t="s">
        <v>23</v>
      </c>
      <c r="L108" t="s">
        <v>32</v>
      </c>
      <c r="M108" t="s">
        <v>303</v>
      </c>
      <c r="N108" t="s">
        <v>9</v>
      </c>
      <c r="O108">
        <v>5</v>
      </c>
      <c r="P108">
        <v>15000</v>
      </c>
      <c r="Q108">
        <v>75000</v>
      </c>
      <c r="R108">
        <v>0.2</v>
      </c>
      <c r="S108">
        <v>15000</v>
      </c>
      <c r="T108">
        <v>2000</v>
      </c>
      <c r="U108">
        <v>2200</v>
      </c>
      <c r="V108">
        <v>1125</v>
      </c>
      <c r="W108">
        <v>60000</v>
      </c>
      <c r="X108">
        <v>33000</v>
      </c>
      <c r="Y108">
        <v>25675</v>
      </c>
      <c r="Z108">
        <f t="shared" si="4"/>
        <v>2025</v>
      </c>
      <c r="AA108" t="str">
        <f t="shared" si="5"/>
        <v>April</v>
      </c>
      <c r="AB108">
        <f t="shared" si="6"/>
        <v>4</v>
      </c>
      <c r="AC108" t="str">
        <f t="shared" si="7"/>
        <v>Q2</v>
      </c>
    </row>
    <row r="109" spans="1:29" x14ac:dyDescent="0.35">
      <c r="A109" t="s">
        <v>162</v>
      </c>
      <c r="B109" s="3">
        <v>45930</v>
      </c>
      <c r="C109" s="3">
        <v>45934</v>
      </c>
      <c r="D109" t="s">
        <v>38</v>
      </c>
      <c r="E109" t="s">
        <v>48</v>
      </c>
      <c r="F109" t="s">
        <v>3</v>
      </c>
      <c r="G109" t="s">
        <v>35</v>
      </c>
      <c r="H109" t="str" cm="1">
        <f t="array" ref="H109">_xlfn.IFS(
OR(G109="Abuja",G109="Fct",G109="Abj"),"Abuja Municipal",
G109="Lagos","Ikeja",
G109="Oyo","Ibadan",
G109="Kano","Kano Municipal",
G109="Enugu","Enugu North",
G109="Rivers","Port Harcourt"
)</f>
        <v>Abuja Municipal</v>
      </c>
      <c r="I109" t="s">
        <v>21</v>
      </c>
      <c r="J109" t="s">
        <v>22</v>
      </c>
      <c r="K109" t="s">
        <v>23</v>
      </c>
      <c r="L109" t="s">
        <v>32</v>
      </c>
      <c r="M109" t="s">
        <v>303</v>
      </c>
      <c r="N109" t="s">
        <v>36</v>
      </c>
      <c r="O109">
        <v>1</v>
      </c>
      <c r="P109">
        <v>25500</v>
      </c>
      <c r="Q109">
        <v>25500</v>
      </c>
      <c r="R109">
        <v>0.15</v>
      </c>
      <c r="S109">
        <v>3825</v>
      </c>
      <c r="T109">
        <v>2000</v>
      </c>
      <c r="U109">
        <v>1500</v>
      </c>
      <c r="V109">
        <v>382.5</v>
      </c>
      <c r="W109">
        <v>21675</v>
      </c>
      <c r="X109">
        <v>15172.5</v>
      </c>
      <c r="Y109">
        <v>6620</v>
      </c>
      <c r="Z109">
        <f t="shared" si="4"/>
        <v>2025</v>
      </c>
      <c r="AA109" t="str">
        <f t="shared" si="5"/>
        <v>September</v>
      </c>
      <c r="AB109">
        <f t="shared" si="6"/>
        <v>9</v>
      </c>
      <c r="AC109" t="str">
        <f t="shared" si="7"/>
        <v>Q3</v>
      </c>
    </row>
    <row r="110" spans="1:29" x14ac:dyDescent="0.35">
      <c r="A110" t="s">
        <v>163</v>
      </c>
      <c r="B110" s="3">
        <v>45671</v>
      </c>
      <c r="C110" s="3">
        <v>45676</v>
      </c>
      <c r="D110" t="s">
        <v>71</v>
      </c>
      <c r="E110" t="s">
        <v>12</v>
      </c>
      <c r="F110" t="s">
        <v>44</v>
      </c>
      <c r="G110" t="s">
        <v>14</v>
      </c>
      <c r="H110" t="str" cm="1">
        <f t="array" ref="H110">_xlfn.IFS(
OR(G110="Abuja",G110="Fct",G110="Abj"),"Abuja Municipal",
G110="Lagos","Ikeja",
G110="Oyo","Ibadan",
G110="Kano","Kano Municipal",
G110="Enugu","Enugu North",
G110="Rivers","Port Harcourt"
)</f>
        <v>Ibadan</v>
      </c>
      <c r="I110" t="s">
        <v>59</v>
      </c>
      <c r="J110" t="s">
        <v>60</v>
      </c>
      <c r="K110" t="s">
        <v>42</v>
      </c>
      <c r="L110" t="s">
        <v>28</v>
      </c>
      <c r="M110" t="s">
        <v>24</v>
      </c>
      <c r="N110" t="s">
        <v>9</v>
      </c>
      <c r="O110">
        <v>3</v>
      </c>
      <c r="P110">
        <v>45000</v>
      </c>
      <c r="Q110">
        <v>135000</v>
      </c>
      <c r="R110">
        <v>0.1</v>
      </c>
      <c r="S110">
        <v>13500</v>
      </c>
      <c r="T110">
        <v>2500</v>
      </c>
      <c r="U110">
        <v>1000</v>
      </c>
      <c r="V110">
        <v>2025</v>
      </c>
      <c r="W110">
        <v>121500</v>
      </c>
      <c r="X110">
        <v>66825</v>
      </c>
      <c r="Y110">
        <v>54150</v>
      </c>
      <c r="Z110">
        <f t="shared" si="4"/>
        <v>2025</v>
      </c>
      <c r="AA110" t="str">
        <f t="shared" si="5"/>
        <v>January</v>
      </c>
      <c r="AB110">
        <f t="shared" si="6"/>
        <v>1</v>
      </c>
      <c r="AC110" t="str">
        <f t="shared" si="7"/>
        <v>Q1</v>
      </c>
    </row>
    <row r="111" spans="1:29" x14ac:dyDescent="0.35">
      <c r="A111" t="s">
        <v>164</v>
      </c>
      <c r="B111" s="3">
        <v>45816</v>
      </c>
      <c r="C111" s="3">
        <v>45820</v>
      </c>
      <c r="D111" t="s">
        <v>38</v>
      </c>
      <c r="E111" t="s">
        <v>48</v>
      </c>
      <c r="F111" t="s">
        <v>13</v>
      </c>
      <c r="G111" t="s">
        <v>27</v>
      </c>
      <c r="H111" t="str" cm="1">
        <f t="array" ref="H111">_xlfn.IFS(
OR(G111="Abuja",G111="Fct",G111="Abj"),"Abuja Municipal",
G111="Lagos","Ikeja",
G111="Oyo","Ibadan",
G111="Kano","Kano Municipal",
G111="Enugu","Enugu North",
G111="Rivers","Port Harcourt"
)</f>
        <v>Port Harcourt</v>
      </c>
      <c r="I111" t="s">
        <v>40</v>
      </c>
      <c r="J111" t="s">
        <v>41</v>
      </c>
      <c r="K111" t="s">
        <v>42</v>
      </c>
      <c r="L111" t="s">
        <v>28</v>
      </c>
      <c r="M111" t="s">
        <v>303</v>
      </c>
      <c r="N111" t="s">
        <v>9</v>
      </c>
      <c r="O111">
        <v>2</v>
      </c>
      <c r="P111">
        <v>120000</v>
      </c>
      <c r="Q111">
        <v>240000</v>
      </c>
      <c r="R111">
        <v>0.1</v>
      </c>
      <c r="S111">
        <v>24000</v>
      </c>
      <c r="T111">
        <v>1500</v>
      </c>
      <c r="U111">
        <v>1500</v>
      </c>
      <c r="V111">
        <v>3600</v>
      </c>
      <c r="W111">
        <v>216000</v>
      </c>
      <c r="X111">
        <v>151200</v>
      </c>
      <c r="Y111">
        <v>61200</v>
      </c>
      <c r="Z111">
        <f t="shared" si="4"/>
        <v>2025</v>
      </c>
      <c r="AA111" t="str">
        <f t="shared" si="5"/>
        <v>June</v>
      </c>
      <c r="AB111">
        <f t="shared" si="6"/>
        <v>6</v>
      </c>
      <c r="AC111" t="str">
        <f t="shared" si="7"/>
        <v>Q2</v>
      </c>
    </row>
    <row r="112" spans="1:29" x14ac:dyDescent="0.35">
      <c r="A112" t="s">
        <v>165</v>
      </c>
      <c r="B112" s="3">
        <v>45809</v>
      </c>
      <c r="C112" s="3">
        <v>45816</v>
      </c>
      <c r="D112" t="s">
        <v>26</v>
      </c>
      <c r="E112" t="s">
        <v>34</v>
      </c>
      <c r="F112" t="s">
        <v>13</v>
      </c>
      <c r="G112" t="s">
        <v>14</v>
      </c>
      <c r="H112" t="str" cm="1">
        <f t="array" ref="H112">_xlfn.IFS(
OR(G112="Abuja",G112="Fct",G112="Abj"),"Abuja Municipal",
G112="Lagos","Ikeja",
G112="Oyo","Ibadan",
G112="Kano","Kano Municipal",
G112="Enugu","Enugu North",
G112="Rivers","Port Harcourt"
)</f>
        <v>Ibadan</v>
      </c>
      <c r="I112" t="s">
        <v>5</v>
      </c>
      <c r="J112" t="s">
        <v>6</v>
      </c>
      <c r="K112" t="s">
        <v>7</v>
      </c>
      <c r="L112" t="s">
        <v>32</v>
      </c>
      <c r="M112" t="s">
        <v>303</v>
      </c>
      <c r="N112" t="s">
        <v>36</v>
      </c>
      <c r="O112">
        <v>4</v>
      </c>
      <c r="P112">
        <v>25500</v>
      </c>
      <c r="Q112">
        <v>102000</v>
      </c>
      <c r="R112">
        <v>0</v>
      </c>
      <c r="S112">
        <v>0</v>
      </c>
      <c r="T112">
        <v>2000</v>
      </c>
      <c r="U112">
        <v>1000</v>
      </c>
      <c r="V112">
        <v>1530</v>
      </c>
      <c r="W112">
        <v>102000</v>
      </c>
      <c r="X112">
        <v>71400</v>
      </c>
      <c r="Y112">
        <v>30070</v>
      </c>
      <c r="Z112">
        <f t="shared" si="4"/>
        <v>2025</v>
      </c>
      <c r="AA112" t="str">
        <f t="shared" si="5"/>
        <v>June</v>
      </c>
      <c r="AB112">
        <f t="shared" si="6"/>
        <v>6</v>
      </c>
      <c r="AC112" t="str">
        <f t="shared" si="7"/>
        <v>Q2</v>
      </c>
    </row>
    <row r="113" spans="1:29" x14ac:dyDescent="0.35">
      <c r="A113" t="s">
        <v>166</v>
      </c>
      <c r="B113" s="3">
        <v>45765</v>
      </c>
      <c r="C113" s="3">
        <v>45770</v>
      </c>
      <c r="D113" t="s">
        <v>38</v>
      </c>
      <c r="E113" t="s">
        <v>12</v>
      </c>
      <c r="F113" t="s">
        <v>3</v>
      </c>
      <c r="G113" t="s">
        <v>35</v>
      </c>
      <c r="H113" t="str" cm="1">
        <f t="array" ref="H113">_xlfn.IFS(
OR(G113="Abuja",G113="Fct",G113="Abj"),"Abuja Municipal",
G113="Lagos","Ikeja",
G113="Oyo","Ibadan",
G113="Kano","Kano Municipal",
G113="Enugu","Enugu North",
G113="Rivers","Port Harcourt"
)</f>
        <v>Abuja Municipal</v>
      </c>
      <c r="I113" t="s">
        <v>21</v>
      </c>
      <c r="J113" t="s">
        <v>22</v>
      </c>
      <c r="K113" t="s">
        <v>23</v>
      </c>
      <c r="L113" t="s">
        <v>28</v>
      </c>
      <c r="M113" t="s">
        <v>18</v>
      </c>
      <c r="N113" t="s">
        <v>9</v>
      </c>
      <c r="O113">
        <v>2</v>
      </c>
      <c r="P113">
        <v>25500</v>
      </c>
      <c r="Q113">
        <v>51000</v>
      </c>
      <c r="R113">
        <v>0</v>
      </c>
      <c r="S113">
        <v>0</v>
      </c>
      <c r="T113">
        <v>3500</v>
      </c>
      <c r="U113">
        <v>3200</v>
      </c>
      <c r="V113">
        <v>765</v>
      </c>
      <c r="W113">
        <v>51000</v>
      </c>
      <c r="X113">
        <v>28050</v>
      </c>
      <c r="Y113">
        <v>22485</v>
      </c>
      <c r="Z113">
        <f t="shared" si="4"/>
        <v>2025</v>
      </c>
      <c r="AA113" t="str">
        <f t="shared" si="5"/>
        <v>April</v>
      </c>
      <c r="AB113">
        <f t="shared" si="6"/>
        <v>4</v>
      </c>
      <c r="AC113" t="str">
        <f t="shared" si="7"/>
        <v>Q2</v>
      </c>
    </row>
    <row r="114" spans="1:29" x14ac:dyDescent="0.35">
      <c r="A114" t="s">
        <v>167</v>
      </c>
      <c r="B114" s="3">
        <v>45845</v>
      </c>
      <c r="C114" s="3">
        <v>45848</v>
      </c>
      <c r="D114" t="s">
        <v>71</v>
      </c>
      <c r="E114" t="s">
        <v>2</v>
      </c>
      <c r="F114" t="s">
        <v>44</v>
      </c>
      <c r="G114" t="s">
        <v>31</v>
      </c>
      <c r="H114" t="str" cm="1">
        <f t="array" ref="H114">_xlfn.IFS(
OR(G114="Abuja",G114="Fct",G114="Abj"),"Abuja Municipal",
G114="Lagos","Ikeja",
G114="Oyo","Ibadan",
G114="Kano","Kano Municipal",
G114="Enugu","Enugu North",
G114="Rivers","Port Harcourt"
)</f>
        <v>Kano Municipal</v>
      </c>
      <c r="I114" t="s">
        <v>5</v>
      </c>
      <c r="J114" t="s">
        <v>6</v>
      </c>
      <c r="K114" t="s">
        <v>7</v>
      </c>
      <c r="L114" t="s">
        <v>28</v>
      </c>
      <c r="M114" t="s">
        <v>18</v>
      </c>
      <c r="N114" t="s">
        <v>9</v>
      </c>
      <c r="O114">
        <v>4</v>
      </c>
      <c r="P114">
        <v>18500</v>
      </c>
      <c r="Q114">
        <v>74000</v>
      </c>
      <c r="R114">
        <v>0.2</v>
      </c>
      <c r="S114">
        <v>14800</v>
      </c>
      <c r="T114">
        <v>2500</v>
      </c>
      <c r="U114">
        <v>1800</v>
      </c>
      <c r="V114">
        <v>1110</v>
      </c>
      <c r="W114">
        <v>59200</v>
      </c>
      <c r="X114">
        <v>35520</v>
      </c>
      <c r="Y114">
        <v>23270</v>
      </c>
      <c r="Z114">
        <f t="shared" si="4"/>
        <v>2025</v>
      </c>
      <c r="AA114" t="str">
        <f t="shared" si="5"/>
        <v>July</v>
      </c>
      <c r="AB114">
        <f t="shared" si="6"/>
        <v>7</v>
      </c>
      <c r="AC114" t="str">
        <f t="shared" si="7"/>
        <v>Q3</v>
      </c>
    </row>
    <row r="115" spans="1:29" x14ac:dyDescent="0.35">
      <c r="A115" t="s">
        <v>168</v>
      </c>
      <c r="B115" s="3">
        <v>45958</v>
      </c>
      <c r="C115" s="3">
        <v>45959</v>
      </c>
      <c r="D115" t="s">
        <v>26</v>
      </c>
      <c r="E115" t="s">
        <v>2</v>
      </c>
      <c r="F115" t="s">
        <v>44</v>
      </c>
      <c r="G115" t="s">
        <v>53</v>
      </c>
      <c r="H115" t="str" cm="1">
        <f t="array" ref="H115">_xlfn.IFS(
OR(G115="Abuja",G115="Fct",G115="Abj"),"Abuja Municipal",
G115="Lagos","Ikeja",
G115="Oyo","Ibadan",
G115="Kano","Kano Municipal",
G115="Enugu","Enugu North",
G115="Rivers","Port Harcourt"
)</f>
        <v>Ikeja</v>
      </c>
      <c r="I115" t="s">
        <v>59</v>
      </c>
      <c r="J115" t="s">
        <v>60</v>
      </c>
      <c r="K115" t="s">
        <v>42</v>
      </c>
      <c r="L115" t="s">
        <v>28</v>
      </c>
      <c r="M115" t="s">
        <v>24</v>
      </c>
      <c r="N115" t="s">
        <v>9</v>
      </c>
      <c r="O115">
        <v>2</v>
      </c>
      <c r="P115">
        <v>78000</v>
      </c>
      <c r="Q115">
        <v>156000</v>
      </c>
      <c r="R115">
        <v>0.2</v>
      </c>
      <c r="S115">
        <v>31200</v>
      </c>
      <c r="T115">
        <v>2500</v>
      </c>
      <c r="U115">
        <v>2200</v>
      </c>
      <c r="V115">
        <v>2340</v>
      </c>
      <c r="W115">
        <v>124800</v>
      </c>
      <c r="X115">
        <v>81120</v>
      </c>
      <c r="Y115">
        <v>41640</v>
      </c>
      <c r="Z115">
        <f t="shared" si="4"/>
        <v>2025</v>
      </c>
      <c r="AA115" t="str">
        <f t="shared" si="5"/>
        <v>October</v>
      </c>
      <c r="AB115">
        <f t="shared" si="6"/>
        <v>10</v>
      </c>
      <c r="AC115" t="str">
        <f t="shared" si="7"/>
        <v>Q4</v>
      </c>
    </row>
    <row r="116" spans="1:29" x14ac:dyDescent="0.35">
      <c r="A116" t="s">
        <v>169</v>
      </c>
      <c r="B116" s="3">
        <v>45755</v>
      </c>
      <c r="C116" s="3">
        <v>45761</v>
      </c>
      <c r="D116" t="s">
        <v>33</v>
      </c>
      <c r="E116" t="s">
        <v>52</v>
      </c>
      <c r="F116" t="s">
        <v>3</v>
      </c>
      <c r="G116" t="s">
        <v>14</v>
      </c>
      <c r="H116" t="str" cm="1">
        <f t="array" ref="H116">_xlfn.IFS(
OR(G116="Abuja",G116="Fct",G116="Abj"),"Abuja Municipal",
G116="Lagos","Ikeja",
G116="Oyo","Ibadan",
G116="Kano","Kano Municipal",
G116="Enugu","Enugu North",
G116="Rivers","Port Harcourt"
)</f>
        <v>Ibadan</v>
      </c>
      <c r="I116" t="s">
        <v>5</v>
      </c>
      <c r="J116" t="s">
        <v>6</v>
      </c>
      <c r="K116" t="s">
        <v>7</v>
      </c>
      <c r="L116" t="s">
        <v>32</v>
      </c>
      <c r="M116" t="s">
        <v>24</v>
      </c>
      <c r="N116" t="s">
        <v>9</v>
      </c>
      <c r="O116">
        <v>5</v>
      </c>
      <c r="P116">
        <v>45000</v>
      </c>
      <c r="Q116">
        <v>225000</v>
      </c>
      <c r="R116">
        <v>0.05</v>
      </c>
      <c r="S116">
        <v>11250</v>
      </c>
      <c r="T116">
        <v>2000</v>
      </c>
      <c r="U116">
        <v>1000</v>
      </c>
      <c r="V116">
        <v>3375</v>
      </c>
      <c r="W116">
        <v>213750</v>
      </c>
      <c r="X116">
        <v>117562.5</v>
      </c>
      <c r="Y116">
        <v>93812.5</v>
      </c>
      <c r="Z116">
        <f t="shared" si="4"/>
        <v>2025</v>
      </c>
      <c r="AA116" t="str">
        <f t="shared" si="5"/>
        <v>April</v>
      </c>
      <c r="AB116">
        <f t="shared" si="6"/>
        <v>4</v>
      </c>
      <c r="AC116" t="str">
        <f t="shared" si="7"/>
        <v>Q2</v>
      </c>
    </row>
    <row r="117" spans="1:29" x14ac:dyDescent="0.35">
      <c r="A117" t="s">
        <v>170</v>
      </c>
      <c r="B117" s="3">
        <v>45788</v>
      </c>
      <c r="C117" s="3">
        <v>45795</v>
      </c>
      <c r="D117" t="s">
        <v>1</v>
      </c>
      <c r="E117" t="s">
        <v>39</v>
      </c>
      <c r="F117" t="s">
        <v>44</v>
      </c>
      <c r="G117" t="s">
        <v>14</v>
      </c>
      <c r="H117" t="str" cm="1">
        <f t="array" ref="H117">_xlfn.IFS(
OR(G117="Abuja",G117="Fct",G117="Abj"),"Abuja Municipal",
G117="Lagos","Ikeja",
G117="Oyo","Ibadan",
G117="Kano","Kano Municipal",
G117="Enugu","Enugu North",
G117="Rivers","Port Harcourt"
)</f>
        <v>Ibadan</v>
      </c>
      <c r="I117" t="s">
        <v>86</v>
      </c>
      <c r="J117" t="s">
        <v>87</v>
      </c>
      <c r="K117" t="s">
        <v>23</v>
      </c>
      <c r="L117" t="s">
        <v>28</v>
      </c>
      <c r="M117" t="s">
        <v>24</v>
      </c>
      <c r="N117" t="s">
        <v>9</v>
      </c>
      <c r="O117">
        <v>5</v>
      </c>
      <c r="P117">
        <v>25500</v>
      </c>
      <c r="Q117">
        <v>127500</v>
      </c>
      <c r="R117">
        <v>0.2</v>
      </c>
      <c r="S117">
        <v>25500</v>
      </c>
      <c r="T117">
        <v>1500</v>
      </c>
      <c r="U117">
        <v>1500</v>
      </c>
      <c r="V117">
        <v>1912.5</v>
      </c>
      <c r="W117">
        <v>102000</v>
      </c>
      <c r="X117">
        <v>66300</v>
      </c>
      <c r="Y117">
        <v>33787.5</v>
      </c>
      <c r="Z117">
        <f t="shared" si="4"/>
        <v>2025</v>
      </c>
      <c r="AA117" t="str">
        <f t="shared" si="5"/>
        <v>May</v>
      </c>
      <c r="AB117">
        <f t="shared" si="6"/>
        <v>5</v>
      </c>
      <c r="AC117" t="str">
        <f t="shared" si="7"/>
        <v>Q2</v>
      </c>
    </row>
    <row r="118" spans="1:29" x14ac:dyDescent="0.35">
      <c r="A118" t="s">
        <v>171</v>
      </c>
      <c r="B118" s="3">
        <v>45950</v>
      </c>
      <c r="C118" s="3">
        <v>45957</v>
      </c>
      <c r="D118" t="s">
        <v>1</v>
      </c>
      <c r="E118" t="s">
        <v>34</v>
      </c>
      <c r="F118" t="s">
        <v>13</v>
      </c>
      <c r="G118" t="s">
        <v>53</v>
      </c>
      <c r="H118" t="str" cm="1">
        <f t="array" ref="H118">_xlfn.IFS(
OR(G118="Abuja",G118="Fct",G118="Abj"),"Abuja Municipal",
G118="Lagos","Ikeja",
G118="Oyo","Ibadan",
G118="Kano","Kano Municipal",
G118="Enugu","Enugu North",
G118="Rivers","Port Harcourt"
)</f>
        <v>Ikeja</v>
      </c>
      <c r="I118" t="s">
        <v>21</v>
      </c>
      <c r="J118" t="s">
        <v>22</v>
      </c>
      <c r="K118" t="s">
        <v>23</v>
      </c>
      <c r="L118" t="s">
        <v>32</v>
      </c>
      <c r="M118" t="s">
        <v>303</v>
      </c>
      <c r="N118" t="s">
        <v>36</v>
      </c>
      <c r="O118">
        <v>5</v>
      </c>
      <c r="P118">
        <v>18500</v>
      </c>
      <c r="Q118">
        <v>92500</v>
      </c>
      <c r="R118">
        <v>0.05</v>
      </c>
      <c r="S118">
        <v>4625</v>
      </c>
      <c r="T118">
        <v>3500</v>
      </c>
      <c r="U118">
        <v>2200</v>
      </c>
      <c r="V118">
        <v>1387.5</v>
      </c>
      <c r="W118">
        <v>87875</v>
      </c>
      <c r="X118">
        <v>48331.25</v>
      </c>
      <c r="Y118">
        <v>39456.25</v>
      </c>
      <c r="Z118">
        <f t="shared" si="4"/>
        <v>2025</v>
      </c>
      <c r="AA118" t="str">
        <f t="shared" si="5"/>
        <v>October</v>
      </c>
      <c r="AB118">
        <f t="shared" si="6"/>
        <v>10</v>
      </c>
      <c r="AC118" t="str">
        <f t="shared" si="7"/>
        <v>Q4</v>
      </c>
    </row>
    <row r="119" spans="1:29" x14ac:dyDescent="0.35">
      <c r="A119" t="s">
        <v>172</v>
      </c>
      <c r="B119" s="3">
        <v>45828</v>
      </c>
      <c r="C119" s="3">
        <v>45831</v>
      </c>
      <c r="D119" t="s">
        <v>75</v>
      </c>
      <c r="E119" t="s">
        <v>39</v>
      </c>
      <c r="F119" t="s">
        <v>13</v>
      </c>
      <c r="G119" t="s">
        <v>31</v>
      </c>
      <c r="H119" t="str" cm="1">
        <f t="array" ref="H119">_xlfn.IFS(
OR(G119="Abuja",G119="Fct",G119="Abj"),"Abuja Municipal",
G119="Lagos","Ikeja",
G119="Oyo","Ibadan",
G119="Kano","Kano Municipal",
G119="Enugu","Enugu North",
G119="Rivers","Port Harcourt"
)</f>
        <v>Kano Municipal</v>
      </c>
      <c r="I119" t="s">
        <v>86</v>
      </c>
      <c r="J119" t="s">
        <v>87</v>
      </c>
      <c r="K119" t="s">
        <v>23</v>
      </c>
      <c r="L119" t="s">
        <v>28</v>
      </c>
      <c r="M119" t="s">
        <v>303</v>
      </c>
      <c r="N119" t="s">
        <v>9</v>
      </c>
      <c r="O119">
        <v>1</v>
      </c>
      <c r="P119">
        <v>120000</v>
      </c>
      <c r="Q119">
        <v>120000</v>
      </c>
      <c r="R119">
        <v>0.15</v>
      </c>
      <c r="S119">
        <v>18000</v>
      </c>
      <c r="T119">
        <v>1500</v>
      </c>
      <c r="U119">
        <v>1800</v>
      </c>
      <c r="V119">
        <v>1800</v>
      </c>
      <c r="W119">
        <v>102000</v>
      </c>
      <c r="X119">
        <v>66300</v>
      </c>
      <c r="Y119">
        <v>33600</v>
      </c>
      <c r="Z119">
        <f t="shared" si="4"/>
        <v>2025</v>
      </c>
      <c r="AA119" t="str">
        <f t="shared" si="5"/>
        <v>June</v>
      </c>
      <c r="AB119">
        <f t="shared" si="6"/>
        <v>6</v>
      </c>
      <c r="AC119" t="str">
        <f t="shared" si="7"/>
        <v>Q2</v>
      </c>
    </row>
    <row r="120" spans="1:29" x14ac:dyDescent="0.35">
      <c r="A120" t="s">
        <v>173</v>
      </c>
      <c r="B120" s="3">
        <v>45840</v>
      </c>
      <c r="C120" s="3">
        <v>45843</v>
      </c>
      <c r="D120" t="s">
        <v>33</v>
      </c>
      <c r="E120" t="s">
        <v>12</v>
      </c>
      <c r="F120" t="s">
        <v>44</v>
      </c>
      <c r="G120" t="s">
        <v>35</v>
      </c>
      <c r="H120" t="str" cm="1">
        <f t="array" ref="H120">_xlfn.IFS(
OR(G120="Abuja",G120="Fct",G120="Abj"),"Abuja Municipal",
G120="Lagos","Ikeja",
G120="Oyo","Ibadan",
G120="Kano","Kano Municipal",
G120="Enugu","Enugu North",
G120="Rivers","Port Harcourt"
)</f>
        <v>Abuja Municipal</v>
      </c>
      <c r="I120" t="s">
        <v>59</v>
      </c>
      <c r="J120" t="s">
        <v>60</v>
      </c>
      <c r="K120" t="s">
        <v>42</v>
      </c>
      <c r="L120" t="s">
        <v>8</v>
      </c>
      <c r="M120" t="s">
        <v>303</v>
      </c>
      <c r="N120" t="s">
        <v>9</v>
      </c>
      <c r="O120">
        <v>4</v>
      </c>
      <c r="P120">
        <v>32000</v>
      </c>
      <c r="Q120">
        <v>128000</v>
      </c>
      <c r="R120">
        <v>0</v>
      </c>
      <c r="S120">
        <v>0</v>
      </c>
      <c r="T120">
        <v>3000</v>
      </c>
      <c r="U120">
        <v>3200</v>
      </c>
      <c r="V120">
        <v>1920</v>
      </c>
      <c r="W120">
        <v>128000</v>
      </c>
      <c r="X120">
        <v>76800</v>
      </c>
      <c r="Y120">
        <v>49080</v>
      </c>
      <c r="Z120">
        <f t="shared" si="4"/>
        <v>2025</v>
      </c>
      <c r="AA120" t="str">
        <f t="shared" si="5"/>
        <v>July</v>
      </c>
      <c r="AB120">
        <f t="shared" si="6"/>
        <v>7</v>
      </c>
      <c r="AC120" t="str">
        <f t="shared" si="7"/>
        <v>Q3</v>
      </c>
    </row>
    <row r="121" spans="1:29" x14ac:dyDescent="0.35">
      <c r="A121" t="s">
        <v>174</v>
      </c>
      <c r="B121" s="3">
        <v>46021</v>
      </c>
      <c r="C121" s="3">
        <v>46023</v>
      </c>
      <c r="D121" t="s">
        <v>33</v>
      </c>
      <c r="E121" t="s">
        <v>34</v>
      </c>
      <c r="F121" t="s">
        <v>13</v>
      </c>
      <c r="G121" t="s">
        <v>14</v>
      </c>
      <c r="H121" t="str" cm="1">
        <f t="array" ref="H121">_xlfn.IFS(
OR(G121="Abuja",G121="Fct",G121="Abj"),"Abuja Municipal",
G121="Lagos","Ikeja",
G121="Oyo","Ibadan",
G121="Kano","Kano Municipal",
G121="Enugu","Enugu North",
G121="Rivers","Port Harcourt"
)</f>
        <v>Ibadan</v>
      </c>
      <c r="I121" t="s">
        <v>86</v>
      </c>
      <c r="J121" t="s">
        <v>87</v>
      </c>
      <c r="K121" t="s">
        <v>23</v>
      </c>
      <c r="L121" t="s">
        <v>28</v>
      </c>
      <c r="M121" t="s">
        <v>18</v>
      </c>
      <c r="N121" t="s">
        <v>9</v>
      </c>
      <c r="O121">
        <v>5</v>
      </c>
      <c r="P121">
        <v>6500</v>
      </c>
      <c r="Q121">
        <v>32500</v>
      </c>
      <c r="R121">
        <v>0.15</v>
      </c>
      <c r="S121">
        <v>4875</v>
      </c>
      <c r="T121">
        <v>3000</v>
      </c>
      <c r="U121">
        <v>2200</v>
      </c>
      <c r="V121">
        <v>487.5</v>
      </c>
      <c r="W121">
        <v>27625</v>
      </c>
      <c r="X121">
        <v>16575</v>
      </c>
      <c r="Y121">
        <v>11362.5</v>
      </c>
      <c r="Z121">
        <f t="shared" si="4"/>
        <v>2025</v>
      </c>
      <c r="AA121" t="str">
        <f t="shared" si="5"/>
        <v>December</v>
      </c>
      <c r="AB121">
        <f t="shared" si="6"/>
        <v>12</v>
      </c>
      <c r="AC121" t="str">
        <f t="shared" si="7"/>
        <v>Q4</v>
      </c>
    </row>
    <row r="122" spans="1:29" x14ac:dyDescent="0.35">
      <c r="A122" t="s">
        <v>175</v>
      </c>
      <c r="B122" s="3">
        <v>45696</v>
      </c>
      <c r="C122" s="3">
        <v>45703</v>
      </c>
      <c r="D122" t="s">
        <v>38</v>
      </c>
      <c r="E122" t="s">
        <v>55</v>
      </c>
      <c r="F122" t="s">
        <v>13</v>
      </c>
      <c r="G122" t="s">
        <v>53</v>
      </c>
      <c r="H122" t="str" cm="1">
        <f t="array" ref="H122">_xlfn.IFS(
OR(G122="Abuja",G122="Fct",G122="Abj"),"Abuja Municipal",
G122="Lagos","Ikeja",
G122="Oyo","Ibadan",
G122="Kano","Kano Municipal",
G122="Enugu","Enugu North",
G122="Rivers","Port Harcourt"
)</f>
        <v>Ikeja</v>
      </c>
      <c r="I122" t="s">
        <v>40</v>
      </c>
      <c r="J122" t="s">
        <v>41</v>
      </c>
      <c r="K122" t="s">
        <v>42</v>
      </c>
      <c r="L122" t="s">
        <v>28</v>
      </c>
      <c r="M122" t="s">
        <v>18</v>
      </c>
      <c r="N122" t="s">
        <v>9</v>
      </c>
      <c r="O122">
        <v>1</v>
      </c>
      <c r="P122">
        <v>6500</v>
      </c>
      <c r="Q122">
        <v>6500</v>
      </c>
      <c r="R122">
        <v>0.2</v>
      </c>
      <c r="S122">
        <v>1300</v>
      </c>
      <c r="T122">
        <v>2000</v>
      </c>
      <c r="U122">
        <v>1000</v>
      </c>
      <c r="V122">
        <v>97.5</v>
      </c>
      <c r="W122">
        <v>5200</v>
      </c>
      <c r="X122">
        <v>2860</v>
      </c>
      <c r="Y122">
        <v>3242.5</v>
      </c>
      <c r="Z122">
        <f t="shared" si="4"/>
        <v>2025</v>
      </c>
      <c r="AA122" t="str">
        <f t="shared" si="5"/>
        <v>February</v>
      </c>
      <c r="AB122">
        <f t="shared" si="6"/>
        <v>2</v>
      </c>
      <c r="AC122" t="str">
        <f t="shared" si="7"/>
        <v>Q1</v>
      </c>
    </row>
    <row r="123" spans="1:29" x14ac:dyDescent="0.35">
      <c r="A123" t="s">
        <v>176</v>
      </c>
      <c r="B123" s="3">
        <v>45672</v>
      </c>
      <c r="C123" s="3">
        <v>45674</v>
      </c>
      <c r="D123" t="s">
        <v>1</v>
      </c>
      <c r="E123" t="s">
        <v>48</v>
      </c>
      <c r="F123" t="s">
        <v>3</v>
      </c>
      <c r="G123" t="s">
        <v>35</v>
      </c>
      <c r="H123" t="str" cm="1">
        <f t="array" ref="H123">_xlfn.IFS(
OR(G123="Abuja",G123="Fct",G123="Abj"),"Abuja Municipal",
G123="Lagos","Ikeja",
G123="Oyo","Ibadan",
G123="Kano","Kano Municipal",
G123="Enugu","Enugu North",
G123="Rivers","Port Harcourt"
)</f>
        <v>Abuja Municipal</v>
      </c>
      <c r="I123" t="s">
        <v>59</v>
      </c>
      <c r="J123" t="s">
        <v>60</v>
      </c>
      <c r="K123" t="s">
        <v>42</v>
      </c>
      <c r="L123" t="s">
        <v>32</v>
      </c>
      <c r="M123" t="s">
        <v>303</v>
      </c>
      <c r="N123" t="s">
        <v>9</v>
      </c>
      <c r="O123">
        <v>4</v>
      </c>
      <c r="P123">
        <v>45000</v>
      </c>
      <c r="Q123">
        <v>180000</v>
      </c>
      <c r="R123">
        <v>0.15</v>
      </c>
      <c r="S123">
        <v>27000</v>
      </c>
      <c r="T123">
        <v>2000</v>
      </c>
      <c r="U123">
        <v>1800</v>
      </c>
      <c r="V123">
        <v>2700</v>
      </c>
      <c r="W123">
        <v>153000</v>
      </c>
      <c r="X123">
        <v>107100</v>
      </c>
      <c r="Y123">
        <v>43400</v>
      </c>
      <c r="Z123">
        <f t="shared" si="4"/>
        <v>2025</v>
      </c>
      <c r="AA123" t="str">
        <f t="shared" si="5"/>
        <v>January</v>
      </c>
      <c r="AB123">
        <f t="shared" si="6"/>
        <v>1</v>
      </c>
      <c r="AC123" t="str">
        <f t="shared" si="7"/>
        <v>Q1</v>
      </c>
    </row>
    <row r="124" spans="1:29" x14ac:dyDescent="0.35">
      <c r="A124" t="s">
        <v>177</v>
      </c>
      <c r="B124" s="3">
        <v>45661</v>
      </c>
      <c r="C124" s="3">
        <v>45663</v>
      </c>
      <c r="D124" t="s">
        <v>71</v>
      </c>
      <c r="E124" t="s">
        <v>55</v>
      </c>
      <c r="F124" t="s">
        <v>44</v>
      </c>
      <c r="G124" t="s">
        <v>35</v>
      </c>
      <c r="H124" t="str" cm="1">
        <f t="array" ref="H124">_xlfn.IFS(
OR(G124="Abuja",G124="Fct",G124="Abj"),"Abuja Municipal",
G124="Lagos","Ikeja",
G124="Oyo","Ibadan",
G124="Kano","Kano Municipal",
G124="Enugu","Enugu North",
G124="Rivers","Port Harcourt"
)</f>
        <v>Abuja Municipal</v>
      </c>
      <c r="I124" t="s">
        <v>59</v>
      </c>
      <c r="J124" t="s">
        <v>60</v>
      </c>
      <c r="K124" t="s">
        <v>42</v>
      </c>
      <c r="L124" t="s">
        <v>32</v>
      </c>
      <c r="M124" t="s">
        <v>18</v>
      </c>
      <c r="N124" t="s">
        <v>9</v>
      </c>
      <c r="O124">
        <v>2</v>
      </c>
      <c r="P124">
        <v>25500</v>
      </c>
      <c r="Q124">
        <v>51000</v>
      </c>
      <c r="R124">
        <v>0.15</v>
      </c>
      <c r="S124">
        <v>7650</v>
      </c>
      <c r="T124">
        <v>2000</v>
      </c>
      <c r="U124">
        <v>1500</v>
      </c>
      <c r="V124">
        <v>765</v>
      </c>
      <c r="W124">
        <v>43350</v>
      </c>
      <c r="X124">
        <v>28177.5</v>
      </c>
      <c r="Y124">
        <v>14907.5</v>
      </c>
      <c r="Z124">
        <f t="shared" si="4"/>
        <v>2025</v>
      </c>
      <c r="AA124" t="str">
        <f t="shared" si="5"/>
        <v>January</v>
      </c>
      <c r="AB124">
        <f t="shared" si="6"/>
        <v>1</v>
      </c>
      <c r="AC124" t="str">
        <f t="shared" si="7"/>
        <v>Q1</v>
      </c>
    </row>
    <row r="125" spans="1:29" x14ac:dyDescent="0.35">
      <c r="A125" t="s">
        <v>178</v>
      </c>
      <c r="B125" s="3">
        <v>46006</v>
      </c>
      <c r="C125" s="3">
        <v>46012</v>
      </c>
      <c r="D125" t="s">
        <v>11</v>
      </c>
      <c r="E125" t="s">
        <v>12</v>
      </c>
      <c r="F125" t="s">
        <v>44</v>
      </c>
      <c r="G125" t="s">
        <v>27</v>
      </c>
      <c r="H125" t="str" cm="1">
        <f t="array" ref="H125">_xlfn.IFS(
OR(G125="Abuja",G125="Fct",G125="Abj"),"Abuja Municipal",
G125="Lagos","Ikeja",
G125="Oyo","Ibadan",
G125="Kano","Kano Municipal",
G125="Enugu","Enugu North",
G125="Rivers","Port Harcourt"
)</f>
        <v>Port Harcourt</v>
      </c>
      <c r="I125" t="s">
        <v>59</v>
      </c>
      <c r="J125" t="s">
        <v>60</v>
      </c>
      <c r="K125" t="s">
        <v>42</v>
      </c>
      <c r="L125" t="s">
        <v>28</v>
      </c>
      <c r="M125" t="s">
        <v>18</v>
      </c>
      <c r="N125" t="s">
        <v>9</v>
      </c>
      <c r="O125">
        <v>1</v>
      </c>
      <c r="P125">
        <v>6500</v>
      </c>
      <c r="Q125">
        <v>6500</v>
      </c>
      <c r="R125">
        <v>0.15</v>
      </c>
      <c r="S125">
        <v>975</v>
      </c>
      <c r="T125">
        <v>3000</v>
      </c>
      <c r="U125">
        <v>1800</v>
      </c>
      <c r="V125">
        <v>97.5</v>
      </c>
      <c r="W125">
        <v>5525</v>
      </c>
      <c r="X125">
        <v>3867.5</v>
      </c>
      <c r="Y125">
        <v>2760</v>
      </c>
      <c r="Z125">
        <f t="shared" si="4"/>
        <v>2025</v>
      </c>
      <c r="AA125" t="str">
        <f t="shared" si="5"/>
        <v>December</v>
      </c>
      <c r="AB125">
        <f t="shared" si="6"/>
        <v>12</v>
      </c>
      <c r="AC125" t="str">
        <f t="shared" si="7"/>
        <v>Q4</v>
      </c>
    </row>
    <row r="126" spans="1:29" x14ac:dyDescent="0.35">
      <c r="A126" t="s">
        <v>179</v>
      </c>
      <c r="B126" s="3">
        <v>45867</v>
      </c>
      <c r="C126" s="3">
        <v>45869</v>
      </c>
      <c r="D126" t="s">
        <v>11</v>
      </c>
      <c r="E126" t="s">
        <v>34</v>
      </c>
      <c r="F126" t="s">
        <v>3</v>
      </c>
      <c r="G126" t="s">
        <v>53</v>
      </c>
      <c r="H126" t="str" cm="1">
        <f t="array" ref="H126">_xlfn.IFS(
OR(G126="Abuja",G126="Fct",G126="Abj"),"Abuja Municipal",
G126="Lagos","Ikeja",
G126="Oyo","Ibadan",
G126="Kano","Kano Municipal",
G126="Enugu","Enugu North",
G126="Rivers","Port Harcourt"
)</f>
        <v>Ikeja</v>
      </c>
      <c r="I126" t="s">
        <v>49</v>
      </c>
      <c r="J126" t="s">
        <v>50</v>
      </c>
      <c r="K126" t="s">
        <v>42</v>
      </c>
      <c r="L126" t="s">
        <v>8</v>
      </c>
      <c r="M126" t="s">
        <v>24</v>
      </c>
      <c r="N126" t="s">
        <v>46</v>
      </c>
      <c r="O126">
        <v>3</v>
      </c>
      <c r="P126">
        <v>78000</v>
      </c>
      <c r="Q126">
        <v>234000</v>
      </c>
      <c r="R126">
        <v>0.2</v>
      </c>
      <c r="S126">
        <v>46800</v>
      </c>
      <c r="T126">
        <v>1500</v>
      </c>
      <c r="U126">
        <v>1800</v>
      </c>
      <c r="V126">
        <v>3510</v>
      </c>
      <c r="W126">
        <v>187200</v>
      </c>
      <c r="X126">
        <v>131040</v>
      </c>
      <c r="Y126">
        <v>52350</v>
      </c>
      <c r="Z126">
        <f t="shared" si="4"/>
        <v>2025</v>
      </c>
      <c r="AA126" t="str">
        <f t="shared" si="5"/>
        <v>July</v>
      </c>
      <c r="AB126">
        <f t="shared" si="6"/>
        <v>7</v>
      </c>
      <c r="AC126" t="str">
        <f t="shared" si="7"/>
        <v>Q3</v>
      </c>
    </row>
    <row r="127" spans="1:29" x14ac:dyDescent="0.35">
      <c r="A127" t="s">
        <v>180</v>
      </c>
      <c r="B127" s="3">
        <v>45818</v>
      </c>
      <c r="C127" s="3">
        <v>45823</v>
      </c>
      <c r="D127" t="s">
        <v>26</v>
      </c>
      <c r="E127" t="s">
        <v>30</v>
      </c>
      <c r="F127" t="s">
        <v>44</v>
      </c>
      <c r="G127" t="s">
        <v>27</v>
      </c>
      <c r="H127" t="str" cm="1">
        <f t="array" ref="H127">_xlfn.IFS(
OR(G127="Abuja",G127="Fct",G127="Abj"),"Abuja Municipal",
G127="Lagos","Ikeja",
G127="Oyo","Ibadan",
G127="Kano","Kano Municipal",
G127="Enugu","Enugu North",
G127="Rivers","Port Harcourt"
)</f>
        <v>Port Harcourt</v>
      </c>
      <c r="I127" t="s">
        <v>5</v>
      </c>
      <c r="J127" t="s">
        <v>6</v>
      </c>
      <c r="K127" t="s">
        <v>7</v>
      </c>
      <c r="L127" t="s">
        <v>28</v>
      </c>
      <c r="M127" t="s">
        <v>303</v>
      </c>
      <c r="N127" t="s">
        <v>9</v>
      </c>
      <c r="O127">
        <v>1</v>
      </c>
      <c r="P127">
        <v>6500</v>
      </c>
      <c r="Q127">
        <v>6500</v>
      </c>
      <c r="R127">
        <v>0.15</v>
      </c>
      <c r="S127">
        <v>975</v>
      </c>
      <c r="T127">
        <v>1500</v>
      </c>
      <c r="U127">
        <v>2800</v>
      </c>
      <c r="V127">
        <v>97.5</v>
      </c>
      <c r="W127">
        <v>5525</v>
      </c>
      <c r="X127">
        <v>3867.5</v>
      </c>
      <c r="Y127">
        <v>260</v>
      </c>
      <c r="Z127">
        <f t="shared" si="4"/>
        <v>2025</v>
      </c>
      <c r="AA127" t="str">
        <f t="shared" si="5"/>
        <v>June</v>
      </c>
      <c r="AB127">
        <f t="shared" si="6"/>
        <v>6</v>
      </c>
      <c r="AC127" t="str">
        <f t="shared" si="7"/>
        <v>Q2</v>
      </c>
    </row>
    <row r="128" spans="1:29" x14ac:dyDescent="0.35">
      <c r="A128" t="s">
        <v>181</v>
      </c>
      <c r="B128" s="3">
        <v>45673</v>
      </c>
      <c r="C128" s="3">
        <v>45677</v>
      </c>
      <c r="D128" t="s">
        <v>1</v>
      </c>
      <c r="E128" t="s">
        <v>12</v>
      </c>
      <c r="F128" t="s">
        <v>44</v>
      </c>
      <c r="G128" t="s">
        <v>35</v>
      </c>
      <c r="H128" t="str" cm="1">
        <f t="array" ref="H128">_xlfn.IFS(
OR(G128="Abuja",G128="Fct",G128="Abj"),"Abuja Municipal",
G128="Lagos","Ikeja",
G128="Oyo","Ibadan",
G128="Kano","Kano Municipal",
G128="Enugu","Enugu North",
G128="Rivers","Port Harcourt"
)</f>
        <v>Abuja Municipal</v>
      </c>
      <c r="I128" t="s">
        <v>49</v>
      </c>
      <c r="J128" t="s">
        <v>50</v>
      </c>
      <c r="K128" t="s">
        <v>42</v>
      </c>
      <c r="L128" t="s">
        <v>28</v>
      </c>
      <c r="M128" t="s">
        <v>18</v>
      </c>
      <c r="N128" t="s">
        <v>9</v>
      </c>
      <c r="O128">
        <v>1</v>
      </c>
      <c r="P128">
        <v>6500</v>
      </c>
      <c r="Q128">
        <v>6500</v>
      </c>
      <c r="R128">
        <v>0.05</v>
      </c>
      <c r="S128">
        <v>325</v>
      </c>
      <c r="T128">
        <v>2000</v>
      </c>
      <c r="U128">
        <v>1800</v>
      </c>
      <c r="V128">
        <v>97.5</v>
      </c>
      <c r="W128">
        <v>6175</v>
      </c>
      <c r="X128">
        <v>3705</v>
      </c>
      <c r="Y128">
        <v>2572.5</v>
      </c>
      <c r="Z128">
        <f t="shared" si="4"/>
        <v>2025</v>
      </c>
      <c r="AA128" t="str">
        <f t="shared" si="5"/>
        <v>January</v>
      </c>
      <c r="AB128">
        <f t="shared" si="6"/>
        <v>1</v>
      </c>
      <c r="AC128" t="str">
        <f t="shared" si="7"/>
        <v>Q1</v>
      </c>
    </row>
    <row r="129" spans="1:29" x14ac:dyDescent="0.35">
      <c r="A129" t="s">
        <v>182</v>
      </c>
      <c r="B129" s="3">
        <v>45765</v>
      </c>
      <c r="C129" s="3">
        <v>45766</v>
      </c>
      <c r="D129" t="s">
        <v>1</v>
      </c>
      <c r="E129" t="s">
        <v>30</v>
      </c>
      <c r="F129" t="s">
        <v>13</v>
      </c>
      <c r="G129" t="s">
        <v>31</v>
      </c>
      <c r="H129" t="str" cm="1">
        <f t="array" ref="H129">_xlfn.IFS(
OR(G129="Abuja",G129="Fct",G129="Abj"),"Abuja Municipal",
G129="Lagos","Ikeja",
G129="Oyo","Ibadan",
G129="Kano","Kano Municipal",
G129="Enugu","Enugu North",
G129="Rivers","Port Harcourt"
)</f>
        <v>Kano Municipal</v>
      </c>
      <c r="I129" t="s">
        <v>49</v>
      </c>
      <c r="J129" t="s">
        <v>50</v>
      </c>
      <c r="K129" t="s">
        <v>42</v>
      </c>
      <c r="L129" t="s">
        <v>8</v>
      </c>
      <c r="M129" t="s">
        <v>18</v>
      </c>
      <c r="N129" t="s">
        <v>9</v>
      </c>
      <c r="O129">
        <v>4</v>
      </c>
      <c r="P129">
        <v>6500</v>
      </c>
      <c r="Q129">
        <v>26000</v>
      </c>
      <c r="R129">
        <v>0.2</v>
      </c>
      <c r="S129">
        <v>5200</v>
      </c>
      <c r="T129">
        <v>3500</v>
      </c>
      <c r="U129">
        <v>1800</v>
      </c>
      <c r="V129">
        <v>390</v>
      </c>
      <c r="W129">
        <v>20800</v>
      </c>
      <c r="X129">
        <v>11440</v>
      </c>
      <c r="Y129">
        <v>10670</v>
      </c>
      <c r="Z129">
        <f t="shared" si="4"/>
        <v>2025</v>
      </c>
      <c r="AA129" t="str">
        <f t="shared" si="5"/>
        <v>April</v>
      </c>
      <c r="AB129">
        <f t="shared" si="6"/>
        <v>4</v>
      </c>
      <c r="AC129" t="str">
        <f t="shared" si="7"/>
        <v>Q2</v>
      </c>
    </row>
    <row r="130" spans="1:29" x14ac:dyDescent="0.35">
      <c r="A130" t="s">
        <v>183</v>
      </c>
      <c r="B130" s="3">
        <v>45968</v>
      </c>
      <c r="C130" s="3">
        <v>45971</v>
      </c>
      <c r="D130" t="s">
        <v>11</v>
      </c>
      <c r="E130" t="s">
        <v>48</v>
      </c>
      <c r="F130" t="s">
        <v>44</v>
      </c>
      <c r="G130" t="s">
        <v>35</v>
      </c>
      <c r="H130" t="str" cm="1">
        <f t="array" ref="H130">_xlfn.IFS(
OR(G130="Abuja",G130="Fct",G130="Abj"),"Abuja Municipal",
G130="Lagos","Ikeja",
G130="Oyo","Ibadan",
G130="Kano","Kano Municipal",
G130="Enugu","Enugu North",
G130="Rivers","Port Harcourt"
)</f>
        <v>Abuja Municipal</v>
      </c>
      <c r="I130" t="s">
        <v>40</v>
      </c>
      <c r="J130" t="s">
        <v>41</v>
      </c>
      <c r="K130" t="s">
        <v>42</v>
      </c>
      <c r="L130" t="s">
        <v>32</v>
      </c>
      <c r="M130" t="s">
        <v>303</v>
      </c>
      <c r="N130" t="s">
        <v>9</v>
      </c>
      <c r="O130">
        <v>2</v>
      </c>
      <c r="P130">
        <v>15000</v>
      </c>
      <c r="Q130">
        <v>30000</v>
      </c>
      <c r="R130">
        <v>0.15</v>
      </c>
      <c r="S130">
        <v>4500</v>
      </c>
      <c r="T130">
        <v>1500</v>
      </c>
      <c r="U130">
        <v>2200</v>
      </c>
      <c r="V130">
        <v>450</v>
      </c>
      <c r="W130">
        <v>25500</v>
      </c>
      <c r="X130">
        <v>14025</v>
      </c>
      <c r="Y130">
        <v>10325</v>
      </c>
      <c r="Z130">
        <f t="shared" si="4"/>
        <v>2025</v>
      </c>
      <c r="AA130" t="str">
        <f t="shared" si="5"/>
        <v>November</v>
      </c>
      <c r="AB130">
        <f t="shared" si="6"/>
        <v>11</v>
      </c>
      <c r="AC130" t="str">
        <f t="shared" si="7"/>
        <v>Q4</v>
      </c>
    </row>
    <row r="131" spans="1:29" x14ac:dyDescent="0.35">
      <c r="A131" t="s">
        <v>184</v>
      </c>
      <c r="B131" s="3">
        <v>45884</v>
      </c>
      <c r="C131" s="3">
        <v>45889</v>
      </c>
      <c r="D131" t="s">
        <v>1</v>
      </c>
      <c r="E131" t="s">
        <v>2</v>
      </c>
      <c r="F131" t="s">
        <v>13</v>
      </c>
      <c r="G131" t="s">
        <v>53</v>
      </c>
      <c r="H131" t="str" cm="1">
        <f t="array" ref="H131">_xlfn.IFS(
OR(G131="Abuja",G131="Fct",G131="Abj"),"Abuja Municipal",
G131="Lagos","Ikeja",
G131="Oyo","Ibadan",
G131="Kano","Kano Municipal",
G131="Enugu","Enugu North",
G131="Rivers","Port Harcourt"
)</f>
        <v>Ikeja</v>
      </c>
      <c r="I131" t="s">
        <v>21</v>
      </c>
      <c r="J131" t="s">
        <v>22</v>
      </c>
      <c r="K131" t="s">
        <v>23</v>
      </c>
      <c r="L131" t="s">
        <v>28</v>
      </c>
      <c r="M131" t="s">
        <v>24</v>
      </c>
      <c r="N131" t="s">
        <v>9</v>
      </c>
      <c r="O131">
        <v>3</v>
      </c>
      <c r="P131">
        <v>18500</v>
      </c>
      <c r="Q131">
        <v>55500</v>
      </c>
      <c r="R131">
        <v>0.2</v>
      </c>
      <c r="S131">
        <v>11100</v>
      </c>
      <c r="T131">
        <v>3000</v>
      </c>
      <c r="U131">
        <v>1500</v>
      </c>
      <c r="V131">
        <v>832.5</v>
      </c>
      <c r="W131">
        <v>44400</v>
      </c>
      <c r="X131">
        <v>26640</v>
      </c>
      <c r="Y131">
        <v>18427.5</v>
      </c>
      <c r="Z131">
        <f t="shared" ref="Z131:Z194" si="8">YEAR(B131)</f>
        <v>2025</v>
      </c>
      <c r="AA131" t="str">
        <f t="shared" ref="AA131:AA194" si="9">TEXT(B131,"mmmm")</f>
        <v>August</v>
      </c>
      <c r="AB131">
        <f t="shared" ref="AB131:AB194" si="10">MONTH(B131)</f>
        <v>8</v>
      </c>
      <c r="AC131" t="str">
        <f t="shared" ref="AC131:AC194" si="11">"Q"&amp;ROUNDUP(MONTH(B131)/3,0)</f>
        <v>Q3</v>
      </c>
    </row>
    <row r="132" spans="1:29" x14ac:dyDescent="0.35">
      <c r="A132" t="s">
        <v>185</v>
      </c>
      <c r="B132" s="3">
        <v>45827</v>
      </c>
      <c r="C132" s="3">
        <v>45828</v>
      </c>
      <c r="D132" t="s">
        <v>38</v>
      </c>
      <c r="E132" t="s">
        <v>2</v>
      </c>
      <c r="F132" t="s">
        <v>44</v>
      </c>
      <c r="G132" t="s">
        <v>53</v>
      </c>
      <c r="H132" t="str" cm="1">
        <f t="array" ref="H132">_xlfn.IFS(
OR(G132="Abuja",G132="Fct",G132="Abj"),"Abuja Municipal",
G132="Lagos","Ikeja",
G132="Oyo","Ibadan",
G132="Kano","Kano Municipal",
G132="Enugu","Enugu North",
G132="Rivers","Port Harcourt"
)</f>
        <v>Ikeja</v>
      </c>
      <c r="I132" t="s">
        <v>5</v>
      </c>
      <c r="J132" t="s">
        <v>6</v>
      </c>
      <c r="K132" t="s">
        <v>7</v>
      </c>
      <c r="L132" t="s">
        <v>32</v>
      </c>
      <c r="M132" t="s">
        <v>24</v>
      </c>
      <c r="N132" t="s">
        <v>9</v>
      </c>
      <c r="O132">
        <v>5</v>
      </c>
      <c r="P132">
        <v>25500</v>
      </c>
      <c r="Q132">
        <v>127500</v>
      </c>
      <c r="R132">
        <v>0.1</v>
      </c>
      <c r="S132">
        <v>12750</v>
      </c>
      <c r="T132">
        <v>2500</v>
      </c>
      <c r="U132">
        <v>2200</v>
      </c>
      <c r="V132">
        <v>1912.5</v>
      </c>
      <c r="W132">
        <v>114750</v>
      </c>
      <c r="X132">
        <v>68850</v>
      </c>
      <c r="Y132">
        <v>44287.5</v>
      </c>
      <c r="Z132">
        <f t="shared" si="8"/>
        <v>2025</v>
      </c>
      <c r="AA132" t="str">
        <f t="shared" si="9"/>
        <v>June</v>
      </c>
      <c r="AB132">
        <f t="shared" si="10"/>
        <v>6</v>
      </c>
      <c r="AC132" t="str">
        <f t="shared" si="11"/>
        <v>Q2</v>
      </c>
    </row>
    <row r="133" spans="1:29" x14ac:dyDescent="0.35">
      <c r="A133" t="s">
        <v>186</v>
      </c>
      <c r="B133" s="3">
        <v>45691</v>
      </c>
      <c r="C133" s="3">
        <v>45698</v>
      </c>
      <c r="D133" t="s">
        <v>62</v>
      </c>
      <c r="E133" t="s">
        <v>12</v>
      </c>
      <c r="F133" t="s">
        <v>3</v>
      </c>
      <c r="G133" t="s">
        <v>35</v>
      </c>
      <c r="H133" t="str" cm="1">
        <f t="array" ref="H133">_xlfn.IFS(
OR(G133="Abuja",G133="Fct",G133="Abj"),"Abuja Municipal",
G133="Lagos","Ikeja",
G133="Oyo","Ibadan",
G133="Kano","Kano Municipal",
G133="Enugu","Enugu North",
G133="Rivers","Port Harcourt"
)</f>
        <v>Abuja Municipal</v>
      </c>
      <c r="I133" t="s">
        <v>86</v>
      </c>
      <c r="J133" t="s">
        <v>87</v>
      </c>
      <c r="K133" t="s">
        <v>23</v>
      </c>
      <c r="L133" t="s">
        <v>32</v>
      </c>
      <c r="M133" t="s">
        <v>24</v>
      </c>
      <c r="N133" t="s">
        <v>9</v>
      </c>
      <c r="O133">
        <v>5</v>
      </c>
      <c r="P133">
        <v>78000</v>
      </c>
      <c r="Q133">
        <v>390000</v>
      </c>
      <c r="R133">
        <v>0.05</v>
      </c>
      <c r="S133">
        <v>19500</v>
      </c>
      <c r="T133">
        <v>2500</v>
      </c>
      <c r="U133">
        <v>2200</v>
      </c>
      <c r="V133">
        <v>5850</v>
      </c>
      <c r="W133">
        <v>370500</v>
      </c>
      <c r="X133">
        <v>203775</v>
      </c>
      <c r="Y133">
        <v>161175</v>
      </c>
      <c r="Z133">
        <f t="shared" si="8"/>
        <v>2025</v>
      </c>
      <c r="AA133" t="str">
        <f t="shared" si="9"/>
        <v>February</v>
      </c>
      <c r="AB133">
        <f t="shared" si="10"/>
        <v>2</v>
      </c>
      <c r="AC133" t="str">
        <f t="shared" si="11"/>
        <v>Q1</v>
      </c>
    </row>
    <row r="134" spans="1:29" x14ac:dyDescent="0.35">
      <c r="A134" t="s">
        <v>187</v>
      </c>
      <c r="B134" s="3">
        <v>45908</v>
      </c>
      <c r="C134" s="3">
        <v>45915</v>
      </c>
      <c r="D134" t="s">
        <v>65</v>
      </c>
      <c r="E134" t="s">
        <v>39</v>
      </c>
      <c r="F134" t="s">
        <v>44</v>
      </c>
      <c r="G134" t="s">
        <v>35</v>
      </c>
      <c r="H134" t="str" cm="1">
        <f t="array" ref="H134">_xlfn.IFS(
OR(G134="Abuja",G134="Fct",G134="Abj"),"Abuja Municipal",
G134="Lagos","Ikeja",
G134="Oyo","Ibadan",
G134="Kano","Kano Municipal",
G134="Enugu","Enugu North",
G134="Rivers","Port Harcourt"
)</f>
        <v>Abuja Municipal</v>
      </c>
      <c r="I134" t="s">
        <v>56</v>
      </c>
      <c r="J134" t="s">
        <v>57</v>
      </c>
      <c r="K134" t="s">
        <v>17</v>
      </c>
      <c r="L134" t="s">
        <v>8</v>
      </c>
      <c r="M134" t="s">
        <v>18</v>
      </c>
      <c r="N134" t="s">
        <v>9</v>
      </c>
      <c r="O134">
        <v>1</v>
      </c>
      <c r="P134">
        <v>25500</v>
      </c>
      <c r="Q134">
        <v>25500</v>
      </c>
      <c r="R134">
        <v>0.15</v>
      </c>
      <c r="S134">
        <v>3825</v>
      </c>
      <c r="T134">
        <v>2500</v>
      </c>
      <c r="U134">
        <v>1000</v>
      </c>
      <c r="V134">
        <v>382.5</v>
      </c>
      <c r="W134">
        <v>21675</v>
      </c>
      <c r="X134">
        <v>15172.5</v>
      </c>
      <c r="Y134">
        <v>7620</v>
      </c>
      <c r="Z134">
        <f t="shared" si="8"/>
        <v>2025</v>
      </c>
      <c r="AA134" t="str">
        <f t="shared" si="9"/>
        <v>September</v>
      </c>
      <c r="AB134">
        <f t="shared" si="10"/>
        <v>9</v>
      </c>
      <c r="AC134" t="str">
        <f t="shared" si="11"/>
        <v>Q3</v>
      </c>
    </row>
    <row r="135" spans="1:29" x14ac:dyDescent="0.35">
      <c r="A135" t="s">
        <v>188</v>
      </c>
      <c r="B135" s="3">
        <v>45904</v>
      </c>
      <c r="C135" s="3">
        <v>45911</v>
      </c>
      <c r="D135" t="s">
        <v>33</v>
      </c>
      <c r="E135" t="s">
        <v>34</v>
      </c>
      <c r="F135" t="s">
        <v>3</v>
      </c>
      <c r="G135" t="s">
        <v>53</v>
      </c>
      <c r="H135" t="str" cm="1">
        <f t="array" ref="H135">_xlfn.IFS(
OR(G135="Abuja",G135="Fct",G135="Abj"),"Abuja Municipal",
G135="Lagos","Ikeja",
G135="Oyo","Ibadan",
G135="Kano","Kano Municipal",
G135="Enugu","Enugu North",
G135="Rivers","Port Harcourt"
)</f>
        <v>Ikeja</v>
      </c>
      <c r="I135" t="s">
        <v>59</v>
      </c>
      <c r="J135" t="s">
        <v>60</v>
      </c>
      <c r="K135" t="s">
        <v>42</v>
      </c>
      <c r="L135" t="s">
        <v>8</v>
      </c>
      <c r="M135" t="s">
        <v>18</v>
      </c>
      <c r="N135" t="s">
        <v>9</v>
      </c>
      <c r="O135">
        <v>4</v>
      </c>
      <c r="P135">
        <v>15000</v>
      </c>
      <c r="Q135">
        <v>60000</v>
      </c>
      <c r="R135">
        <v>0.1</v>
      </c>
      <c r="S135">
        <v>6000</v>
      </c>
      <c r="T135">
        <v>3500</v>
      </c>
      <c r="U135">
        <v>2200</v>
      </c>
      <c r="V135">
        <v>900</v>
      </c>
      <c r="W135">
        <v>54000</v>
      </c>
      <c r="X135">
        <v>35100</v>
      </c>
      <c r="Y135">
        <v>19300</v>
      </c>
      <c r="Z135">
        <f t="shared" si="8"/>
        <v>2025</v>
      </c>
      <c r="AA135" t="str">
        <f t="shared" si="9"/>
        <v>September</v>
      </c>
      <c r="AB135">
        <f t="shared" si="10"/>
        <v>9</v>
      </c>
      <c r="AC135" t="str">
        <f t="shared" si="11"/>
        <v>Q3</v>
      </c>
    </row>
    <row r="136" spans="1:29" x14ac:dyDescent="0.35">
      <c r="A136" t="s">
        <v>189</v>
      </c>
      <c r="B136" s="3">
        <v>45926</v>
      </c>
      <c r="C136" s="3">
        <v>45931</v>
      </c>
      <c r="D136" t="s">
        <v>75</v>
      </c>
      <c r="E136" t="s">
        <v>34</v>
      </c>
      <c r="F136" t="s">
        <v>44</v>
      </c>
      <c r="G136" t="s">
        <v>4</v>
      </c>
      <c r="H136" t="str" cm="1">
        <f t="array" ref="H136">_xlfn.IFS(
OR(G136="Abuja",G136="Fct",G136="Abj"),"Abuja Municipal",
G136="Lagos","Ikeja",
G136="Oyo","Ibadan",
G136="Kano","Kano Municipal",
G136="Enugu","Enugu North",
G136="Rivers","Port Harcourt"
)</f>
        <v>Enugu North</v>
      </c>
      <c r="I136" t="s">
        <v>86</v>
      </c>
      <c r="J136" t="s">
        <v>87</v>
      </c>
      <c r="K136" t="s">
        <v>23</v>
      </c>
      <c r="L136" t="s">
        <v>32</v>
      </c>
      <c r="M136" t="s">
        <v>18</v>
      </c>
      <c r="N136" t="s">
        <v>9</v>
      </c>
      <c r="O136">
        <v>4</v>
      </c>
      <c r="P136">
        <v>45000</v>
      </c>
      <c r="Q136">
        <v>180000</v>
      </c>
      <c r="R136">
        <v>0.1</v>
      </c>
      <c r="S136">
        <v>18000</v>
      </c>
      <c r="T136">
        <v>2000</v>
      </c>
      <c r="U136">
        <v>2800</v>
      </c>
      <c r="V136">
        <v>2700</v>
      </c>
      <c r="W136">
        <v>162000</v>
      </c>
      <c r="X136">
        <v>105300</v>
      </c>
      <c r="Y136">
        <v>53200</v>
      </c>
      <c r="Z136">
        <f t="shared" si="8"/>
        <v>2025</v>
      </c>
      <c r="AA136" t="str">
        <f t="shared" si="9"/>
        <v>September</v>
      </c>
      <c r="AB136">
        <f t="shared" si="10"/>
        <v>9</v>
      </c>
      <c r="AC136" t="str">
        <f t="shared" si="11"/>
        <v>Q3</v>
      </c>
    </row>
    <row r="137" spans="1:29" x14ac:dyDescent="0.35">
      <c r="A137" t="s">
        <v>190</v>
      </c>
      <c r="B137" s="3">
        <v>45798</v>
      </c>
      <c r="C137" s="3">
        <v>45803</v>
      </c>
      <c r="D137" t="s">
        <v>26</v>
      </c>
      <c r="E137" t="s">
        <v>2</v>
      </c>
      <c r="F137" t="s">
        <v>13</v>
      </c>
      <c r="G137" t="s">
        <v>35</v>
      </c>
      <c r="H137" t="str" cm="1">
        <f t="array" ref="H137">_xlfn.IFS(
OR(G137="Abuja",G137="Fct",G137="Abj"),"Abuja Municipal",
G137="Lagos","Ikeja",
G137="Oyo","Ibadan",
G137="Kano","Kano Municipal",
G137="Enugu","Enugu North",
G137="Rivers","Port Harcourt"
)</f>
        <v>Abuja Municipal</v>
      </c>
      <c r="I137" t="s">
        <v>59</v>
      </c>
      <c r="J137" t="s">
        <v>60</v>
      </c>
      <c r="K137" t="s">
        <v>42</v>
      </c>
      <c r="L137" t="s">
        <v>28</v>
      </c>
      <c r="M137" t="s">
        <v>18</v>
      </c>
      <c r="N137" t="s">
        <v>9</v>
      </c>
      <c r="O137">
        <v>5</v>
      </c>
      <c r="P137">
        <v>45000</v>
      </c>
      <c r="Q137">
        <v>225000</v>
      </c>
      <c r="R137">
        <v>0.2</v>
      </c>
      <c r="S137">
        <v>45000</v>
      </c>
      <c r="T137">
        <v>3000</v>
      </c>
      <c r="U137">
        <v>2800</v>
      </c>
      <c r="V137">
        <v>3375</v>
      </c>
      <c r="W137">
        <v>180000</v>
      </c>
      <c r="X137">
        <v>117000</v>
      </c>
      <c r="Y137">
        <v>59825</v>
      </c>
      <c r="Z137">
        <f t="shared" si="8"/>
        <v>2025</v>
      </c>
      <c r="AA137" t="str">
        <f t="shared" si="9"/>
        <v>May</v>
      </c>
      <c r="AB137">
        <f t="shared" si="10"/>
        <v>5</v>
      </c>
      <c r="AC137" t="str">
        <f t="shared" si="11"/>
        <v>Q2</v>
      </c>
    </row>
    <row r="138" spans="1:29" x14ac:dyDescent="0.35">
      <c r="A138" t="s">
        <v>191</v>
      </c>
      <c r="B138" s="3">
        <v>45931</v>
      </c>
      <c r="C138" s="3">
        <v>45934</v>
      </c>
      <c r="D138" t="s">
        <v>62</v>
      </c>
      <c r="E138" t="s">
        <v>52</v>
      </c>
      <c r="F138" t="s">
        <v>3</v>
      </c>
      <c r="G138" t="s">
        <v>14</v>
      </c>
      <c r="H138" t="str" cm="1">
        <f t="array" ref="H138">_xlfn.IFS(
OR(G138="Abuja",G138="Fct",G138="Abj"),"Abuja Municipal",
G138="Lagos","Ikeja",
G138="Oyo","Ibadan",
G138="Kano","Kano Municipal",
G138="Enugu","Enugu North",
G138="Rivers","Port Harcourt"
)</f>
        <v>Ibadan</v>
      </c>
      <c r="I138" t="s">
        <v>40</v>
      </c>
      <c r="J138" t="s">
        <v>41</v>
      </c>
      <c r="K138" t="s">
        <v>42</v>
      </c>
      <c r="L138" t="s">
        <v>32</v>
      </c>
      <c r="M138" t="s">
        <v>18</v>
      </c>
      <c r="N138" t="s">
        <v>9</v>
      </c>
      <c r="O138">
        <v>3</v>
      </c>
      <c r="P138">
        <v>45000</v>
      </c>
      <c r="Q138">
        <v>135000</v>
      </c>
      <c r="R138">
        <v>0.1</v>
      </c>
      <c r="S138">
        <v>13500</v>
      </c>
      <c r="T138">
        <v>3500</v>
      </c>
      <c r="U138">
        <v>1000</v>
      </c>
      <c r="V138">
        <v>2025</v>
      </c>
      <c r="W138">
        <v>121500</v>
      </c>
      <c r="X138">
        <v>85050</v>
      </c>
      <c r="Y138">
        <v>36925</v>
      </c>
      <c r="Z138">
        <f t="shared" si="8"/>
        <v>2025</v>
      </c>
      <c r="AA138" t="str">
        <f t="shared" si="9"/>
        <v>October</v>
      </c>
      <c r="AB138">
        <f t="shared" si="10"/>
        <v>10</v>
      </c>
      <c r="AC138" t="str">
        <f t="shared" si="11"/>
        <v>Q4</v>
      </c>
    </row>
    <row r="139" spans="1:29" x14ac:dyDescent="0.35">
      <c r="A139" t="s">
        <v>192</v>
      </c>
      <c r="B139" s="3">
        <v>45753</v>
      </c>
      <c r="C139" s="3">
        <v>45757</v>
      </c>
      <c r="D139" t="s">
        <v>11</v>
      </c>
      <c r="E139" t="s">
        <v>55</v>
      </c>
      <c r="F139" t="s">
        <v>44</v>
      </c>
      <c r="G139" t="s">
        <v>31</v>
      </c>
      <c r="H139" t="str" cm="1">
        <f t="array" ref="H139">_xlfn.IFS(
OR(G139="Abuja",G139="Fct",G139="Abj"),"Abuja Municipal",
G139="Lagos","Ikeja",
G139="Oyo","Ibadan",
G139="Kano","Kano Municipal",
G139="Enugu","Enugu North",
G139="Rivers","Port Harcourt"
)</f>
        <v>Kano Municipal</v>
      </c>
      <c r="I139" t="s">
        <v>59</v>
      </c>
      <c r="J139" t="s">
        <v>60</v>
      </c>
      <c r="K139" t="s">
        <v>42</v>
      </c>
      <c r="L139" t="s">
        <v>28</v>
      </c>
      <c r="M139" t="s">
        <v>18</v>
      </c>
      <c r="N139" t="s">
        <v>9</v>
      </c>
      <c r="O139">
        <v>2</v>
      </c>
      <c r="P139">
        <v>120000</v>
      </c>
      <c r="Q139">
        <v>240000</v>
      </c>
      <c r="R139">
        <v>0.05</v>
      </c>
      <c r="S139">
        <v>12000</v>
      </c>
      <c r="T139">
        <v>3000</v>
      </c>
      <c r="U139">
        <v>3200</v>
      </c>
      <c r="V139">
        <v>3600</v>
      </c>
      <c r="W139">
        <v>228000</v>
      </c>
      <c r="X139">
        <v>125400</v>
      </c>
      <c r="Y139">
        <v>98800</v>
      </c>
      <c r="Z139">
        <f t="shared" si="8"/>
        <v>2025</v>
      </c>
      <c r="AA139" t="str">
        <f t="shared" si="9"/>
        <v>April</v>
      </c>
      <c r="AB139">
        <f t="shared" si="10"/>
        <v>4</v>
      </c>
      <c r="AC139" t="str">
        <f t="shared" si="11"/>
        <v>Q2</v>
      </c>
    </row>
    <row r="140" spans="1:29" x14ac:dyDescent="0.35">
      <c r="A140" t="s">
        <v>193</v>
      </c>
      <c r="B140" s="3">
        <v>45884</v>
      </c>
      <c r="C140" s="3">
        <v>45886</v>
      </c>
      <c r="D140" t="s">
        <v>33</v>
      </c>
      <c r="E140" t="s">
        <v>52</v>
      </c>
      <c r="F140" t="s">
        <v>13</v>
      </c>
      <c r="G140" t="s">
        <v>53</v>
      </c>
      <c r="H140" t="str" cm="1">
        <f t="array" ref="H140">_xlfn.IFS(
OR(G140="Abuja",G140="Fct",G140="Abj"),"Abuja Municipal",
G140="Lagos","Ikeja",
G140="Oyo","Ibadan",
G140="Kano","Kano Municipal",
G140="Enugu","Enugu North",
G140="Rivers","Port Harcourt"
)</f>
        <v>Ikeja</v>
      </c>
      <c r="I140" t="s">
        <v>49</v>
      </c>
      <c r="J140" t="s">
        <v>50</v>
      </c>
      <c r="K140" t="s">
        <v>42</v>
      </c>
      <c r="L140" t="s">
        <v>28</v>
      </c>
      <c r="M140" t="s">
        <v>18</v>
      </c>
      <c r="N140" t="s">
        <v>9</v>
      </c>
      <c r="O140">
        <v>3</v>
      </c>
      <c r="P140">
        <v>6500</v>
      </c>
      <c r="Q140">
        <v>19500</v>
      </c>
      <c r="R140">
        <v>0.05</v>
      </c>
      <c r="S140">
        <v>975</v>
      </c>
      <c r="T140">
        <v>3000</v>
      </c>
      <c r="U140">
        <v>1500</v>
      </c>
      <c r="V140">
        <v>292.5</v>
      </c>
      <c r="W140">
        <v>18525</v>
      </c>
      <c r="X140">
        <v>11115</v>
      </c>
      <c r="Y140">
        <v>8617.5</v>
      </c>
      <c r="Z140">
        <f t="shared" si="8"/>
        <v>2025</v>
      </c>
      <c r="AA140" t="str">
        <f t="shared" si="9"/>
        <v>August</v>
      </c>
      <c r="AB140">
        <f t="shared" si="10"/>
        <v>8</v>
      </c>
      <c r="AC140" t="str">
        <f t="shared" si="11"/>
        <v>Q3</v>
      </c>
    </row>
    <row r="141" spans="1:29" x14ac:dyDescent="0.35">
      <c r="A141" t="s">
        <v>194</v>
      </c>
      <c r="B141" s="3">
        <v>45696</v>
      </c>
      <c r="C141" s="3">
        <v>45703</v>
      </c>
      <c r="D141" t="s">
        <v>1</v>
      </c>
      <c r="E141" t="s">
        <v>48</v>
      </c>
      <c r="F141" t="s">
        <v>3</v>
      </c>
      <c r="G141" t="s">
        <v>53</v>
      </c>
      <c r="H141" t="str" cm="1">
        <f t="array" ref="H141">_xlfn.IFS(
OR(G141="Abuja",G141="Fct",G141="Abj"),"Abuja Municipal",
G141="Lagos","Ikeja",
G141="Oyo","Ibadan",
G141="Kano","Kano Municipal",
G141="Enugu","Enugu North",
G141="Rivers","Port Harcourt"
)</f>
        <v>Ikeja</v>
      </c>
      <c r="I141" t="s">
        <v>5</v>
      </c>
      <c r="J141" t="s">
        <v>6</v>
      </c>
      <c r="K141" t="s">
        <v>7</v>
      </c>
      <c r="L141" t="s">
        <v>8</v>
      </c>
      <c r="M141" t="s">
        <v>24</v>
      </c>
      <c r="N141" t="s">
        <v>9</v>
      </c>
      <c r="O141">
        <v>2</v>
      </c>
      <c r="P141">
        <v>120000</v>
      </c>
      <c r="Q141">
        <v>240000</v>
      </c>
      <c r="R141">
        <v>0</v>
      </c>
      <c r="S141">
        <v>0</v>
      </c>
      <c r="T141">
        <v>2000</v>
      </c>
      <c r="U141">
        <v>1500</v>
      </c>
      <c r="V141">
        <v>3600</v>
      </c>
      <c r="W141">
        <v>240000</v>
      </c>
      <c r="X141">
        <v>132000</v>
      </c>
      <c r="Y141">
        <v>104900</v>
      </c>
      <c r="Z141">
        <f t="shared" si="8"/>
        <v>2025</v>
      </c>
      <c r="AA141" t="str">
        <f t="shared" si="9"/>
        <v>February</v>
      </c>
      <c r="AB141">
        <f t="shared" si="10"/>
        <v>2</v>
      </c>
      <c r="AC141" t="str">
        <f t="shared" si="11"/>
        <v>Q1</v>
      </c>
    </row>
    <row r="142" spans="1:29" x14ac:dyDescent="0.35">
      <c r="A142" t="s">
        <v>195</v>
      </c>
      <c r="B142" s="3">
        <v>45959</v>
      </c>
      <c r="C142" s="3">
        <v>45965</v>
      </c>
      <c r="D142" t="s">
        <v>75</v>
      </c>
      <c r="E142" t="s">
        <v>55</v>
      </c>
      <c r="F142" t="s">
        <v>3</v>
      </c>
      <c r="G142" t="s">
        <v>14</v>
      </c>
      <c r="H142" t="str" cm="1">
        <f t="array" ref="H142">_xlfn.IFS(
OR(G142="Abuja",G142="Fct",G142="Abj"),"Abuja Municipal",
G142="Lagos","Ikeja",
G142="Oyo","Ibadan",
G142="Kano","Kano Municipal",
G142="Enugu","Enugu North",
G142="Rivers","Port Harcourt"
)</f>
        <v>Ibadan</v>
      </c>
      <c r="I142" t="s">
        <v>56</v>
      </c>
      <c r="J142" t="s">
        <v>57</v>
      </c>
      <c r="K142" t="s">
        <v>17</v>
      </c>
      <c r="L142" t="s">
        <v>28</v>
      </c>
      <c r="M142" t="s">
        <v>303</v>
      </c>
      <c r="N142" t="s">
        <v>9</v>
      </c>
      <c r="O142">
        <v>5</v>
      </c>
      <c r="P142">
        <v>18500</v>
      </c>
      <c r="Q142">
        <v>92500</v>
      </c>
      <c r="R142">
        <v>0.05</v>
      </c>
      <c r="S142">
        <v>4625</v>
      </c>
      <c r="T142">
        <v>2500</v>
      </c>
      <c r="U142">
        <v>2200</v>
      </c>
      <c r="V142">
        <v>1387.5</v>
      </c>
      <c r="W142">
        <v>87875</v>
      </c>
      <c r="X142">
        <v>61512.5</v>
      </c>
      <c r="Y142">
        <v>25275</v>
      </c>
      <c r="Z142">
        <f t="shared" si="8"/>
        <v>2025</v>
      </c>
      <c r="AA142" t="str">
        <f t="shared" si="9"/>
        <v>October</v>
      </c>
      <c r="AB142">
        <f t="shared" si="10"/>
        <v>10</v>
      </c>
      <c r="AC142" t="str">
        <f t="shared" si="11"/>
        <v>Q4</v>
      </c>
    </row>
    <row r="143" spans="1:29" x14ac:dyDescent="0.35">
      <c r="A143" t="s">
        <v>196</v>
      </c>
      <c r="B143" s="3">
        <v>45686</v>
      </c>
      <c r="C143" s="3">
        <v>45690</v>
      </c>
      <c r="D143" t="s">
        <v>1</v>
      </c>
      <c r="E143" t="s">
        <v>55</v>
      </c>
      <c r="F143" t="s">
        <v>44</v>
      </c>
      <c r="G143" t="s">
        <v>53</v>
      </c>
      <c r="H143" t="str" cm="1">
        <f t="array" ref="H143">_xlfn.IFS(
OR(G143="Abuja",G143="Fct",G143="Abj"),"Abuja Municipal",
G143="Lagos","Ikeja",
G143="Oyo","Ibadan",
G143="Kano","Kano Municipal",
G143="Enugu","Enugu North",
G143="Rivers","Port Harcourt"
)</f>
        <v>Ikeja</v>
      </c>
      <c r="I143" t="s">
        <v>15</v>
      </c>
      <c r="J143" t="s">
        <v>16</v>
      </c>
      <c r="K143" t="s">
        <v>17</v>
      </c>
      <c r="L143" t="s">
        <v>28</v>
      </c>
      <c r="M143" t="s">
        <v>18</v>
      </c>
      <c r="N143" t="s">
        <v>9</v>
      </c>
      <c r="O143">
        <v>2</v>
      </c>
      <c r="P143">
        <v>45000</v>
      </c>
      <c r="Q143">
        <v>90000</v>
      </c>
      <c r="R143">
        <v>0.1</v>
      </c>
      <c r="S143">
        <v>9000</v>
      </c>
      <c r="T143">
        <v>2000</v>
      </c>
      <c r="U143">
        <v>2200</v>
      </c>
      <c r="V143">
        <v>1350</v>
      </c>
      <c r="W143">
        <v>81000</v>
      </c>
      <c r="X143">
        <v>48600</v>
      </c>
      <c r="Y143">
        <v>30850</v>
      </c>
      <c r="Z143">
        <f t="shared" si="8"/>
        <v>2025</v>
      </c>
      <c r="AA143" t="str">
        <f t="shared" si="9"/>
        <v>January</v>
      </c>
      <c r="AB143">
        <f t="shared" si="10"/>
        <v>1</v>
      </c>
      <c r="AC143" t="str">
        <f t="shared" si="11"/>
        <v>Q1</v>
      </c>
    </row>
    <row r="144" spans="1:29" x14ac:dyDescent="0.35">
      <c r="A144" t="s">
        <v>197</v>
      </c>
      <c r="B144" s="3">
        <v>45975</v>
      </c>
      <c r="C144" s="3">
        <v>45981</v>
      </c>
      <c r="D144" t="s">
        <v>71</v>
      </c>
      <c r="E144" t="s">
        <v>12</v>
      </c>
      <c r="F144" t="s">
        <v>44</v>
      </c>
      <c r="G144" t="s">
        <v>53</v>
      </c>
      <c r="H144" t="str" cm="1">
        <f t="array" ref="H144">_xlfn.IFS(
OR(G144="Abuja",G144="Fct",G144="Abj"),"Abuja Municipal",
G144="Lagos","Ikeja",
G144="Oyo","Ibadan",
G144="Kano","Kano Municipal",
G144="Enugu","Enugu North",
G144="Rivers","Port Harcourt"
)</f>
        <v>Ikeja</v>
      </c>
      <c r="I144" t="s">
        <v>59</v>
      </c>
      <c r="J144" t="s">
        <v>60</v>
      </c>
      <c r="K144" t="s">
        <v>42</v>
      </c>
      <c r="L144" t="s">
        <v>32</v>
      </c>
      <c r="M144" t="s">
        <v>18</v>
      </c>
      <c r="N144" t="s">
        <v>9</v>
      </c>
      <c r="O144">
        <v>4</v>
      </c>
      <c r="P144">
        <v>15000</v>
      </c>
      <c r="Q144">
        <v>60000</v>
      </c>
      <c r="R144">
        <v>0.05</v>
      </c>
      <c r="S144">
        <v>3000</v>
      </c>
      <c r="T144">
        <v>3500</v>
      </c>
      <c r="U144">
        <v>3200</v>
      </c>
      <c r="V144">
        <v>900</v>
      </c>
      <c r="W144">
        <v>57000</v>
      </c>
      <c r="X144">
        <v>39900</v>
      </c>
      <c r="Y144">
        <v>16500</v>
      </c>
      <c r="Z144">
        <f t="shared" si="8"/>
        <v>2025</v>
      </c>
      <c r="AA144" t="str">
        <f t="shared" si="9"/>
        <v>November</v>
      </c>
      <c r="AB144">
        <f t="shared" si="10"/>
        <v>11</v>
      </c>
      <c r="AC144" t="str">
        <f t="shared" si="11"/>
        <v>Q4</v>
      </c>
    </row>
    <row r="145" spans="1:29" x14ac:dyDescent="0.35">
      <c r="A145" t="s">
        <v>198</v>
      </c>
      <c r="B145" s="3">
        <v>45902</v>
      </c>
      <c r="C145" s="3">
        <v>45905</v>
      </c>
      <c r="D145" t="s">
        <v>71</v>
      </c>
      <c r="E145" t="s">
        <v>2</v>
      </c>
      <c r="F145" t="s">
        <v>44</v>
      </c>
      <c r="G145" t="s">
        <v>27</v>
      </c>
      <c r="H145" t="str" cm="1">
        <f t="array" ref="H145">_xlfn.IFS(
OR(G145="Abuja",G145="Fct",G145="Abj"),"Abuja Municipal",
G145="Lagos","Ikeja",
G145="Oyo","Ibadan",
G145="Kano","Kano Municipal",
G145="Enugu","Enugu North",
G145="Rivers","Port Harcourt"
)</f>
        <v>Port Harcourt</v>
      </c>
      <c r="I145" t="s">
        <v>86</v>
      </c>
      <c r="J145" t="s">
        <v>87</v>
      </c>
      <c r="K145" t="s">
        <v>23</v>
      </c>
      <c r="L145" t="s">
        <v>8</v>
      </c>
      <c r="M145" t="s">
        <v>24</v>
      </c>
      <c r="N145" t="s">
        <v>9</v>
      </c>
      <c r="O145">
        <v>1</v>
      </c>
      <c r="P145">
        <v>78000</v>
      </c>
      <c r="Q145">
        <v>78000</v>
      </c>
      <c r="R145">
        <v>0.2</v>
      </c>
      <c r="S145">
        <v>15600</v>
      </c>
      <c r="T145">
        <v>3500</v>
      </c>
      <c r="U145">
        <v>2200</v>
      </c>
      <c r="V145">
        <v>1170</v>
      </c>
      <c r="W145">
        <v>62400</v>
      </c>
      <c r="X145">
        <v>40560</v>
      </c>
      <c r="Y145">
        <v>21970</v>
      </c>
      <c r="Z145">
        <f t="shared" si="8"/>
        <v>2025</v>
      </c>
      <c r="AA145" t="str">
        <f t="shared" si="9"/>
        <v>September</v>
      </c>
      <c r="AB145">
        <f t="shared" si="10"/>
        <v>9</v>
      </c>
      <c r="AC145" t="str">
        <f t="shared" si="11"/>
        <v>Q3</v>
      </c>
    </row>
    <row r="146" spans="1:29" x14ac:dyDescent="0.35">
      <c r="A146" t="s">
        <v>199</v>
      </c>
      <c r="B146" s="3">
        <v>45893</v>
      </c>
      <c r="C146" s="3">
        <v>45896</v>
      </c>
      <c r="D146" t="s">
        <v>75</v>
      </c>
      <c r="E146" t="s">
        <v>52</v>
      </c>
      <c r="F146" t="s">
        <v>13</v>
      </c>
      <c r="G146" t="s">
        <v>53</v>
      </c>
      <c r="H146" t="str" cm="1">
        <f t="array" ref="H146">_xlfn.IFS(
OR(G146="Abuja",G146="Fct",G146="Abj"),"Abuja Municipal",
G146="Lagos","Ikeja",
G146="Oyo","Ibadan",
G146="Kano","Kano Municipal",
G146="Enugu","Enugu North",
G146="Rivers","Port Harcourt"
)</f>
        <v>Ikeja</v>
      </c>
      <c r="I146" t="s">
        <v>49</v>
      </c>
      <c r="J146" t="s">
        <v>50</v>
      </c>
      <c r="K146" t="s">
        <v>42</v>
      </c>
      <c r="L146" t="s">
        <v>28</v>
      </c>
      <c r="M146" t="s">
        <v>303</v>
      </c>
      <c r="N146" t="s">
        <v>9</v>
      </c>
      <c r="O146">
        <v>1</v>
      </c>
      <c r="P146">
        <v>25500</v>
      </c>
      <c r="Q146">
        <v>25500</v>
      </c>
      <c r="R146">
        <v>0</v>
      </c>
      <c r="S146">
        <v>0</v>
      </c>
      <c r="T146">
        <v>3500</v>
      </c>
      <c r="U146">
        <v>1500</v>
      </c>
      <c r="V146">
        <v>382.5</v>
      </c>
      <c r="W146">
        <v>25500</v>
      </c>
      <c r="X146">
        <v>16575</v>
      </c>
      <c r="Y146">
        <v>10542.5</v>
      </c>
      <c r="Z146">
        <f t="shared" si="8"/>
        <v>2025</v>
      </c>
      <c r="AA146" t="str">
        <f t="shared" si="9"/>
        <v>August</v>
      </c>
      <c r="AB146">
        <f t="shared" si="10"/>
        <v>8</v>
      </c>
      <c r="AC146" t="str">
        <f t="shared" si="11"/>
        <v>Q3</v>
      </c>
    </row>
    <row r="147" spans="1:29" x14ac:dyDescent="0.35">
      <c r="A147" t="s">
        <v>200</v>
      </c>
      <c r="B147" s="3">
        <v>45842</v>
      </c>
      <c r="C147" s="3">
        <v>45845</v>
      </c>
      <c r="D147" t="s">
        <v>75</v>
      </c>
      <c r="E147" t="s">
        <v>52</v>
      </c>
      <c r="F147" t="s">
        <v>44</v>
      </c>
      <c r="G147" t="s">
        <v>4</v>
      </c>
      <c r="H147" t="str" cm="1">
        <f t="array" ref="H147">_xlfn.IFS(
OR(G147="Abuja",G147="Fct",G147="Abj"),"Abuja Municipal",
G147="Lagos","Ikeja",
G147="Oyo","Ibadan",
G147="Kano","Kano Municipal",
G147="Enugu","Enugu North",
G147="Rivers","Port Harcourt"
)</f>
        <v>Enugu North</v>
      </c>
      <c r="I147" t="s">
        <v>15</v>
      </c>
      <c r="J147" t="s">
        <v>16</v>
      </c>
      <c r="K147" t="s">
        <v>17</v>
      </c>
      <c r="L147" t="s">
        <v>28</v>
      </c>
      <c r="M147" t="s">
        <v>18</v>
      </c>
      <c r="N147" t="s">
        <v>9</v>
      </c>
      <c r="O147">
        <v>5</v>
      </c>
      <c r="P147">
        <v>6500</v>
      </c>
      <c r="Q147">
        <v>32500</v>
      </c>
      <c r="R147">
        <v>0.1</v>
      </c>
      <c r="S147">
        <v>3250</v>
      </c>
      <c r="T147">
        <v>2000</v>
      </c>
      <c r="U147">
        <v>1800</v>
      </c>
      <c r="V147">
        <v>487.5</v>
      </c>
      <c r="W147">
        <v>29250</v>
      </c>
      <c r="X147">
        <v>20475</v>
      </c>
      <c r="Y147">
        <v>8487.5</v>
      </c>
      <c r="Z147">
        <f t="shared" si="8"/>
        <v>2025</v>
      </c>
      <c r="AA147" t="str">
        <f t="shared" si="9"/>
        <v>July</v>
      </c>
      <c r="AB147">
        <f t="shared" si="10"/>
        <v>7</v>
      </c>
      <c r="AC147" t="str">
        <f t="shared" si="11"/>
        <v>Q3</v>
      </c>
    </row>
    <row r="148" spans="1:29" x14ac:dyDescent="0.35">
      <c r="A148" t="s">
        <v>201</v>
      </c>
      <c r="B148" s="3">
        <v>45929</v>
      </c>
      <c r="C148" s="3">
        <v>45930</v>
      </c>
      <c r="D148" t="s">
        <v>11</v>
      </c>
      <c r="E148" t="s">
        <v>2</v>
      </c>
      <c r="F148" t="s">
        <v>3</v>
      </c>
      <c r="G148" t="s">
        <v>53</v>
      </c>
      <c r="H148" t="str" cm="1">
        <f t="array" ref="H148">_xlfn.IFS(
OR(G148="Abuja",G148="Fct",G148="Abj"),"Abuja Municipal",
G148="Lagos","Ikeja",
G148="Oyo","Ibadan",
G148="Kano","Kano Municipal",
G148="Enugu","Enugu North",
G148="Rivers","Port Harcourt"
)</f>
        <v>Ikeja</v>
      </c>
      <c r="I148" t="s">
        <v>56</v>
      </c>
      <c r="J148" t="s">
        <v>57</v>
      </c>
      <c r="K148" t="s">
        <v>17</v>
      </c>
      <c r="L148" t="s">
        <v>8</v>
      </c>
      <c r="M148" t="s">
        <v>303</v>
      </c>
      <c r="N148" t="s">
        <v>9</v>
      </c>
      <c r="O148">
        <v>4</v>
      </c>
      <c r="P148">
        <v>32000</v>
      </c>
      <c r="Q148">
        <v>128000</v>
      </c>
      <c r="R148">
        <v>0</v>
      </c>
      <c r="S148">
        <v>0</v>
      </c>
      <c r="T148">
        <v>3000</v>
      </c>
      <c r="U148">
        <v>2800</v>
      </c>
      <c r="V148">
        <v>1920</v>
      </c>
      <c r="W148">
        <v>128000</v>
      </c>
      <c r="X148">
        <v>76800</v>
      </c>
      <c r="Y148">
        <v>49480</v>
      </c>
      <c r="Z148">
        <f t="shared" si="8"/>
        <v>2025</v>
      </c>
      <c r="AA148" t="str">
        <f t="shared" si="9"/>
        <v>September</v>
      </c>
      <c r="AB148">
        <f t="shared" si="10"/>
        <v>9</v>
      </c>
      <c r="AC148" t="str">
        <f t="shared" si="11"/>
        <v>Q3</v>
      </c>
    </row>
    <row r="149" spans="1:29" x14ac:dyDescent="0.35">
      <c r="A149" t="s">
        <v>202</v>
      </c>
      <c r="B149" s="3">
        <v>45893</v>
      </c>
      <c r="C149" s="3">
        <v>45899</v>
      </c>
      <c r="D149" t="s">
        <v>75</v>
      </c>
      <c r="E149" t="s">
        <v>52</v>
      </c>
      <c r="F149" t="s">
        <v>3</v>
      </c>
      <c r="G149" t="s">
        <v>53</v>
      </c>
      <c r="H149" t="str" cm="1">
        <f t="array" ref="H149">_xlfn.IFS(
OR(G149="Abuja",G149="Fct",G149="Abj"),"Abuja Municipal",
G149="Lagos","Ikeja",
G149="Oyo","Ibadan",
G149="Kano","Kano Municipal",
G149="Enugu","Enugu North",
G149="Rivers","Port Harcourt"
)</f>
        <v>Ikeja</v>
      </c>
      <c r="I149" t="s">
        <v>15</v>
      </c>
      <c r="J149" t="s">
        <v>16</v>
      </c>
      <c r="K149" t="s">
        <v>17</v>
      </c>
      <c r="L149" t="s">
        <v>32</v>
      </c>
      <c r="M149" t="s">
        <v>24</v>
      </c>
      <c r="N149" t="s">
        <v>46</v>
      </c>
      <c r="O149">
        <v>3</v>
      </c>
      <c r="P149">
        <v>78000</v>
      </c>
      <c r="Q149">
        <v>234000</v>
      </c>
      <c r="R149">
        <v>0.1</v>
      </c>
      <c r="S149">
        <v>23400</v>
      </c>
      <c r="T149">
        <v>3000</v>
      </c>
      <c r="U149">
        <v>1800</v>
      </c>
      <c r="V149">
        <v>3510</v>
      </c>
      <c r="W149">
        <v>210600</v>
      </c>
      <c r="X149">
        <v>126360</v>
      </c>
      <c r="Y149">
        <v>81930</v>
      </c>
      <c r="Z149">
        <f t="shared" si="8"/>
        <v>2025</v>
      </c>
      <c r="AA149" t="str">
        <f t="shared" si="9"/>
        <v>August</v>
      </c>
      <c r="AB149">
        <f t="shared" si="10"/>
        <v>8</v>
      </c>
      <c r="AC149" t="str">
        <f t="shared" si="11"/>
        <v>Q3</v>
      </c>
    </row>
    <row r="150" spans="1:29" x14ac:dyDescent="0.35">
      <c r="A150" t="s">
        <v>203</v>
      </c>
      <c r="B150" s="3">
        <v>45896</v>
      </c>
      <c r="C150" s="3">
        <v>45900</v>
      </c>
      <c r="D150" t="s">
        <v>38</v>
      </c>
      <c r="E150" t="s">
        <v>30</v>
      </c>
      <c r="F150" t="s">
        <v>44</v>
      </c>
      <c r="G150" t="s">
        <v>4</v>
      </c>
      <c r="H150" t="str" cm="1">
        <f t="array" ref="H150">_xlfn.IFS(
OR(G150="Abuja",G150="Fct",G150="Abj"),"Abuja Municipal",
G150="Lagos","Ikeja",
G150="Oyo","Ibadan",
G150="Kano","Kano Municipal",
G150="Enugu","Enugu North",
G150="Rivers","Port Harcourt"
)</f>
        <v>Enugu North</v>
      </c>
      <c r="I150" t="s">
        <v>49</v>
      </c>
      <c r="J150" t="s">
        <v>50</v>
      </c>
      <c r="K150" t="s">
        <v>42</v>
      </c>
      <c r="L150" t="s">
        <v>8</v>
      </c>
      <c r="M150" t="s">
        <v>24</v>
      </c>
      <c r="N150" t="s">
        <v>9</v>
      </c>
      <c r="O150">
        <v>4</v>
      </c>
      <c r="P150">
        <v>6500</v>
      </c>
      <c r="Q150">
        <v>26000</v>
      </c>
      <c r="R150">
        <v>0.2</v>
      </c>
      <c r="S150">
        <v>5200</v>
      </c>
      <c r="T150">
        <v>1500</v>
      </c>
      <c r="U150">
        <v>1800</v>
      </c>
      <c r="V150">
        <v>390</v>
      </c>
      <c r="W150">
        <v>20800</v>
      </c>
      <c r="X150">
        <v>11440</v>
      </c>
      <c r="Y150">
        <v>8670</v>
      </c>
      <c r="Z150">
        <f t="shared" si="8"/>
        <v>2025</v>
      </c>
      <c r="AA150" t="str">
        <f t="shared" si="9"/>
        <v>August</v>
      </c>
      <c r="AB150">
        <f t="shared" si="10"/>
        <v>8</v>
      </c>
      <c r="AC150" t="str">
        <f t="shared" si="11"/>
        <v>Q3</v>
      </c>
    </row>
    <row r="151" spans="1:29" x14ac:dyDescent="0.35">
      <c r="A151" t="s">
        <v>204</v>
      </c>
      <c r="B151" s="3">
        <v>45923</v>
      </c>
      <c r="C151" s="3">
        <v>45927</v>
      </c>
      <c r="D151" t="s">
        <v>1</v>
      </c>
      <c r="E151" t="s">
        <v>2</v>
      </c>
      <c r="F151" t="s">
        <v>44</v>
      </c>
      <c r="G151" t="s">
        <v>31</v>
      </c>
      <c r="H151" t="str" cm="1">
        <f t="array" ref="H151">_xlfn.IFS(
OR(G151="Abuja",G151="Fct",G151="Abj"),"Abuja Municipal",
G151="Lagos","Ikeja",
G151="Oyo","Ibadan",
G151="Kano","Kano Municipal",
G151="Enugu","Enugu North",
G151="Rivers","Port Harcourt"
)</f>
        <v>Kano Municipal</v>
      </c>
      <c r="I151" t="s">
        <v>5</v>
      </c>
      <c r="J151" t="s">
        <v>6</v>
      </c>
      <c r="K151" t="s">
        <v>7</v>
      </c>
      <c r="L151" t="s">
        <v>8</v>
      </c>
      <c r="M151" t="s">
        <v>303</v>
      </c>
      <c r="N151" t="s">
        <v>9</v>
      </c>
      <c r="O151">
        <v>1</v>
      </c>
      <c r="P151">
        <v>120000</v>
      </c>
      <c r="Q151">
        <v>120000</v>
      </c>
      <c r="R151">
        <v>0</v>
      </c>
      <c r="S151">
        <v>0</v>
      </c>
      <c r="T151">
        <v>3500</v>
      </c>
      <c r="U151">
        <v>1500</v>
      </c>
      <c r="V151">
        <v>1800</v>
      </c>
      <c r="W151">
        <v>120000</v>
      </c>
      <c r="X151">
        <v>78000</v>
      </c>
      <c r="Y151">
        <v>42200</v>
      </c>
      <c r="Z151">
        <f t="shared" si="8"/>
        <v>2025</v>
      </c>
      <c r="AA151" t="str">
        <f t="shared" si="9"/>
        <v>September</v>
      </c>
      <c r="AB151">
        <f t="shared" si="10"/>
        <v>9</v>
      </c>
      <c r="AC151" t="str">
        <f t="shared" si="11"/>
        <v>Q3</v>
      </c>
    </row>
    <row r="152" spans="1:29" x14ac:dyDescent="0.35">
      <c r="A152" t="s">
        <v>205</v>
      </c>
      <c r="B152" s="3">
        <v>46016</v>
      </c>
      <c r="C152" s="3">
        <v>46021</v>
      </c>
      <c r="D152" t="s">
        <v>62</v>
      </c>
      <c r="E152" t="s">
        <v>12</v>
      </c>
      <c r="F152" t="s">
        <v>44</v>
      </c>
      <c r="G152" t="s">
        <v>35</v>
      </c>
      <c r="H152" t="str" cm="1">
        <f t="array" ref="H152">_xlfn.IFS(
OR(G152="Abuja",G152="Fct",G152="Abj"),"Abuja Municipal",
G152="Lagos","Ikeja",
G152="Oyo","Ibadan",
G152="Kano","Kano Municipal",
G152="Enugu","Enugu North",
G152="Rivers","Port Harcourt"
)</f>
        <v>Abuja Municipal</v>
      </c>
      <c r="I152" t="s">
        <v>5</v>
      </c>
      <c r="J152" t="s">
        <v>6</v>
      </c>
      <c r="K152" t="s">
        <v>7</v>
      </c>
      <c r="L152" t="s">
        <v>28</v>
      </c>
      <c r="M152" t="s">
        <v>18</v>
      </c>
      <c r="N152" t="s">
        <v>9</v>
      </c>
      <c r="O152">
        <v>1</v>
      </c>
      <c r="P152">
        <v>120000</v>
      </c>
      <c r="Q152">
        <v>120000</v>
      </c>
      <c r="R152">
        <v>0.15</v>
      </c>
      <c r="S152">
        <v>18000</v>
      </c>
      <c r="T152">
        <v>3000</v>
      </c>
      <c r="U152">
        <v>1800</v>
      </c>
      <c r="V152">
        <v>1800</v>
      </c>
      <c r="W152">
        <v>102000</v>
      </c>
      <c r="X152">
        <v>56100</v>
      </c>
      <c r="Y152">
        <v>45300</v>
      </c>
      <c r="Z152">
        <f t="shared" si="8"/>
        <v>2025</v>
      </c>
      <c r="AA152" t="str">
        <f t="shared" si="9"/>
        <v>December</v>
      </c>
      <c r="AB152">
        <f t="shared" si="10"/>
        <v>12</v>
      </c>
      <c r="AC152" t="str">
        <f t="shared" si="11"/>
        <v>Q4</v>
      </c>
    </row>
    <row r="153" spans="1:29" x14ac:dyDescent="0.35">
      <c r="A153" t="s">
        <v>206</v>
      </c>
      <c r="B153" s="3">
        <v>45997</v>
      </c>
      <c r="C153" s="3">
        <v>46002</v>
      </c>
      <c r="D153" t="s">
        <v>20</v>
      </c>
      <c r="E153" t="s">
        <v>39</v>
      </c>
      <c r="F153" t="s">
        <v>3</v>
      </c>
      <c r="G153" t="s">
        <v>53</v>
      </c>
      <c r="H153" t="str" cm="1">
        <f t="array" ref="H153">_xlfn.IFS(
OR(G153="Abuja",G153="Fct",G153="Abj"),"Abuja Municipal",
G153="Lagos","Ikeja",
G153="Oyo","Ibadan",
G153="Kano","Kano Municipal",
G153="Enugu","Enugu North",
G153="Rivers","Port Harcourt"
)</f>
        <v>Ikeja</v>
      </c>
      <c r="I153" t="s">
        <v>21</v>
      </c>
      <c r="J153" t="s">
        <v>22</v>
      </c>
      <c r="K153" t="s">
        <v>23</v>
      </c>
      <c r="L153" t="s">
        <v>28</v>
      </c>
      <c r="M153" t="s">
        <v>18</v>
      </c>
      <c r="N153" t="s">
        <v>9</v>
      </c>
      <c r="O153">
        <v>4</v>
      </c>
      <c r="P153">
        <v>78000</v>
      </c>
      <c r="Q153">
        <v>312000</v>
      </c>
      <c r="R153">
        <v>0.1</v>
      </c>
      <c r="S153">
        <v>31200</v>
      </c>
      <c r="T153">
        <v>1500</v>
      </c>
      <c r="U153">
        <v>3200</v>
      </c>
      <c r="V153">
        <v>4680</v>
      </c>
      <c r="W153">
        <v>280800</v>
      </c>
      <c r="X153">
        <v>154440</v>
      </c>
      <c r="Y153">
        <v>119980</v>
      </c>
      <c r="Z153">
        <f t="shared" si="8"/>
        <v>2025</v>
      </c>
      <c r="AA153" t="str">
        <f t="shared" si="9"/>
        <v>December</v>
      </c>
      <c r="AB153">
        <f t="shared" si="10"/>
        <v>12</v>
      </c>
      <c r="AC153" t="str">
        <f t="shared" si="11"/>
        <v>Q4</v>
      </c>
    </row>
    <row r="154" spans="1:29" x14ac:dyDescent="0.35">
      <c r="A154" t="s">
        <v>207</v>
      </c>
      <c r="B154" s="3">
        <v>45722</v>
      </c>
      <c r="C154" s="3">
        <v>45729</v>
      </c>
      <c r="D154" t="s">
        <v>75</v>
      </c>
      <c r="E154" t="s">
        <v>55</v>
      </c>
      <c r="F154" t="s">
        <v>13</v>
      </c>
      <c r="G154" t="s">
        <v>4</v>
      </c>
      <c r="H154" t="str" cm="1">
        <f t="array" ref="H154">_xlfn.IFS(
OR(G154="Abuja",G154="Fct",G154="Abj"),"Abuja Municipal",
G154="Lagos","Ikeja",
G154="Oyo","Ibadan",
G154="Kano","Kano Municipal",
G154="Enugu","Enugu North",
G154="Rivers","Port Harcourt"
)</f>
        <v>Enugu North</v>
      </c>
      <c r="I154" t="s">
        <v>5</v>
      </c>
      <c r="J154" t="s">
        <v>6</v>
      </c>
      <c r="K154" t="s">
        <v>7</v>
      </c>
      <c r="L154" t="s">
        <v>32</v>
      </c>
      <c r="M154" t="s">
        <v>18</v>
      </c>
      <c r="N154" t="s">
        <v>9</v>
      </c>
      <c r="O154">
        <v>4</v>
      </c>
      <c r="P154">
        <v>120000</v>
      </c>
      <c r="Q154">
        <v>480000</v>
      </c>
      <c r="R154">
        <v>0.15</v>
      </c>
      <c r="S154">
        <v>72000</v>
      </c>
      <c r="T154">
        <v>3000</v>
      </c>
      <c r="U154">
        <v>1000</v>
      </c>
      <c r="V154">
        <v>7200</v>
      </c>
      <c r="W154">
        <v>408000</v>
      </c>
      <c r="X154">
        <v>285600</v>
      </c>
      <c r="Y154">
        <v>117200</v>
      </c>
      <c r="Z154">
        <f t="shared" si="8"/>
        <v>2025</v>
      </c>
      <c r="AA154" t="str">
        <f t="shared" si="9"/>
        <v>March</v>
      </c>
      <c r="AB154">
        <f t="shared" si="10"/>
        <v>3</v>
      </c>
      <c r="AC154" t="str">
        <f t="shared" si="11"/>
        <v>Q1</v>
      </c>
    </row>
    <row r="155" spans="1:29" x14ac:dyDescent="0.35">
      <c r="A155" t="s">
        <v>208</v>
      </c>
      <c r="B155" s="3">
        <v>45834</v>
      </c>
      <c r="C155" s="3">
        <v>45839</v>
      </c>
      <c r="D155" t="s">
        <v>26</v>
      </c>
      <c r="E155" t="s">
        <v>12</v>
      </c>
      <c r="F155" t="s">
        <v>44</v>
      </c>
      <c r="G155" t="s">
        <v>14</v>
      </c>
      <c r="H155" t="str" cm="1">
        <f t="array" ref="H155">_xlfn.IFS(
OR(G155="Abuja",G155="Fct",G155="Abj"),"Abuja Municipal",
G155="Lagos","Ikeja",
G155="Oyo","Ibadan",
G155="Kano","Kano Municipal",
G155="Enugu","Enugu North",
G155="Rivers","Port Harcourt"
)</f>
        <v>Ibadan</v>
      </c>
      <c r="I155" t="s">
        <v>21</v>
      </c>
      <c r="J155" t="s">
        <v>22</v>
      </c>
      <c r="K155" t="s">
        <v>23</v>
      </c>
      <c r="L155" t="s">
        <v>28</v>
      </c>
      <c r="M155" t="s">
        <v>18</v>
      </c>
      <c r="N155" t="s">
        <v>9</v>
      </c>
      <c r="O155">
        <v>1</v>
      </c>
      <c r="P155">
        <v>45000</v>
      </c>
      <c r="Q155">
        <v>45000</v>
      </c>
      <c r="R155">
        <v>0</v>
      </c>
      <c r="S155">
        <v>0</v>
      </c>
      <c r="T155">
        <v>3500</v>
      </c>
      <c r="U155">
        <v>2200</v>
      </c>
      <c r="V155">
        <v>675</v>
      </c>
      <c r="W155">
        <v>45000</v>
      </c>
      <c r="X155">
        <v>31500</v>
      </c>
      <c r="Y155">
        <v>14125</v>
      </c>
      <c r="Z155">
        <f t="shared" si="8"/>
        <v>2025</v>
      </c>
      <c r="AA155" t="str">
        <f t="shared" si="9"/>
        <v>June</v>
      </c>
      <c r="AB155">
        <f t="shared" si="10"/>
        <v>6</v>
      </c>
      <c r="AC155" t="str">
        <f t="shared" si="11"/>
        <v>Q2</v>
      </c>
    </row>
    <row r="156" spans="1:29" x14ac:dyDescent="0.35">
      <c r="A156" t="s">
        <v>209</v>
      </c>
      <c r="B156" s="3">
        <v>45660</v>
      </c>
      <c r="C156" s="3">
        <v>45663</v>
      </c>
      <c r="D156" t="s">
        <v>71</v>
      </c>
      <c r="E156" t="s">
        <v>34</v>
      </c>
      <c r="F156" t="s">
        <v>44</v>
      </c>
      <c r="G156" t="s">
        <v>27</v>
      </c>
      <c r="H156" t="str" cm="1">
        <f t="array" ref="H156">_xlfn.IFS(
OR(G156="Abuja",G156="Fct",G156="Abj"),"Abuja Municipal",
G156="Lagos","Ikeja",
G156="Oyo","Ibadan",
G156="Kano","Kano Municipal",
G156="Enugu","Enugu North",
G156="Rivers","Port Harcourt"
)</f>
        <v>Port Harcourt</v>
      </c>
      <c r="I156" t="s">
        <v>15</v>
      </c>
      <c r="J156" t="s">
        <v>16</v>
      </c>
      <c r="K156" t="s">
        <v>17</v>
      </c>
      <c r="L156" t="s">
        <v>28</v>
      </c>
      <c r="M156" t="s">
        <v>303</v>
      </c>
      <c r="N156" t="s">
        <v>9</v>
      </c>
      <c r="O156">
        <v>3</v>
      </c>
      <c r="P156">
        <v>18500</v>
      </c>
      <c r="Q156">
        <v>55500</v>
      </c>
      <c r="R156">
        <v>0.15</v>
      </c>
      <c r="S156">
        <v>8325</v>
      </c>
      <c r="T156">
        <v>2500</v>
      </c>
      <c r="U156">
        <v>1000</v>
      </c>
      <c r="V156">
        <v>832.5</v>
      </c>
      <c r="W156">
        <v>47175</v>
      </c>
      <c r="X156">
        <v>25946.25</v>
      </c>
      <c r="Y156">
        <v>21896.25</v>
      </c>
      <c r="Z156">
        <f t="shared" si="8"/>
        <v>2025</v>
      </c>
      <c r="AA156" t="str">
        <f t="shared" si="9"/>
        <v>January</v>
      </c>
      <c r="AB156">
        <f t="shared" si="10"/>
        <v>1</v>
      </c>
      <c r="AC156" t="str">
        <f t="shared" si="11"/>
        <v>Q1</v>
      </c>
    </row>
    <row r="157" spans="1:29" x14ac:dyDescent="0.35">
      <c r="A157" t="s">
        <v>210</v>
      </c>
      <c r="B157" s="3">
        <v>45799</v>
      </c>
      <c r="C157" s="3">
        <v>45803</v>
      </c>
      <c r="D157" t="s">
        <v>38</v>
      </c>
      <c r="E157" t="s">
        <v>48</v>
      </c>
      <c r="F157" t="s">
        <v>44</v>
      </c>
      <c r="G157" t="s">
        <v>27</v>
      </c>
      <c r="H157" t="str" cm="1">
        <f t="array" ref="H157">_xlfn.IFS(
OR(G157="Abuja",G157="Fct",G157="Abj"),"Abuja Municipal",
G157="Lagos","Ikeja",
G157="Oyo","Ibadan",
G157="Kano","Kano Municipal",
G157="Enugu","Enugu North",
G157="Rivers","Port Harcourt"
)</f>
        <v>Port Harcourt</v>
      </c>
      <c r="I157" t="s">
        <v>40</v>
      </c>
      <c r="J157" t="s">
        <v>41</v>
      </c>
      <c r="K157" t="s">
        <v>42</v>
      </c>
      <c r="L157" t="s">
        <v>8</v>
      </c>
      <c r="M157" t="s">
        <v>24</v>
      </c>
      <c r="N157" t="s">
        <v>9</v>
      </c>
      <c r="O157">
        <v>5</v>
      </c>
      <c r="P157">
        <v>25500</v>
      </c>
      <c r="Q157">
        <v>127500</v>
      </c>
      <c r="R157">
        <v>0.15</v>
      </c>
      <c r="S157">
        <v>19125</v>
      </c>
      <c r="T157">
        <v>3500</v>
      </c>
      <c r="U157">
        <v>2800</v>
      </c>
      <c r="V157">
        <v>1912.5</v>
      </c>
      <c r="W157">
        <v>108375</v>
      </c>
      <c r="X157">
        <v>70443.75</v>
      </c>
      <c r="Y157">
        <v>36718.75</v>
      </c>
      <c r="Z157">
        <f t="shared" si="8"/>
        <v>2025</v>
      </c>
      <c r="AA157" t="str">
        <f t="shared" si="9"/>
        <v>May</v>
      </c>
      <c r="AB157">
        <f t="shared" si="10"/>
        <v>5</v>
      </c>
      <c r="AC157" t="str">
        <f t="shared" si="11"/>
        <v>Q2</v>
      </c>
    </row>
    <row r="158" spans="1:29" x14ac:dyDescent="0.35">
      <c r="A158" t="s">
        <v>211</v>
      </c>
      <c r="B158" s="3">
        <v>45815</v>
      </c>
      <c r="C158" s="3">
        <v>45821</v>
      </c>
      <c r="D158" t="s">
        <v>33</v>
      </c>
      <c r="E158" t="s">
        <v>39</v>
      </c>
      <c r="F158" t="s">
        <v>3</v>
      </c>
      <c r="G158" t="s">
        <v>53</v>
      </c>
      <c r="H158" t="str" cm="1">
        <f t="array" ref="H158">_xlfn.IFS(
OR(G158="Abuja",G158="Fct",G158="Abj"),"Abuja Municipal",
G158="Lagos","Ikeja",
G158="Oyo","Ibadan",
G158="Kano","Kano Municipal",
G158="Enugu","Enugu North",
G158="Rivers","Port Harcourt"
)</f>
        <v>Ikeja</v>
      </c>
      <c r="I158" t="s">
        <v>86</v>
      </c>
      <c r="J158" t="s">
        <v>87</v>
      </c>
      <c r="K158" t="s">
        <v>23</v>
      </c>
      <c r="L158" t="s">
        <v>28</v>
      </c>
      <c r="M158" t="s">
        <v>18</v>
      </c>
      <c r="N158" t="s">
        <v>46</v>
      </c>
      <c r="O158">
        <v>5</v>
      </c>
      <c r="P158">
        <v>18500</v>
      </c>
      <c r="Q158">
        <v>92500</v>
      </c>
      <c r="R158">
        <v>0</v>
      </c>
      <c r="S158">
        <v>0</v>
      </c>
      <c r="T158">
        <v>2000</v>
      </c>
      <c r="U158">
        <v>2200</v>
      </c>
      <c r="V158">
        <v>1387.5</v>
      </c>
      <c r="W158">
        <v>92500</v>
      </c>
      <c r="X158">
        <v>64750</v>
      </c>
      <c r="Y158">
        <v>26162.5</v>
      </c>
      <c r="Z158">
        <f t="shared" si="8"/>
        <v>2025</v>
      </c>
      <c r="AA158" t="str">
        <f t="shared" si="9"/>
        <v>June</v>
      </c>
      <c r="AB158">
        <f t="shared" si="10"/>
        <v>6</v>
      </c>
      <c r="AC158" t="str">
        <f t="shared" si="11"/>
        <v>Q2</v>
      </c>
    </row>
    <row r="159" spans="1:29" x14ac:dyDescent="0.35">
      <c r="A159" t="s">
        <v>212</v>
      </c>
      <c r="B159" s="3">
        <v>45981</v>
      </c>
      <c r="C159" s="3">
        <v>45984</v>
      </c>
      <c r="D159" t="s">
        <v>20</v>
      </c>
      <c r="E159" t="s">
        <v>34</v>
      </c>
      <c r="F159" t="s">
        <v>44</v>
      </c>
      <c r="G159" t="s">
        <v>31</v>
      </c>
      <c r="H159" t="str" cm="1">
        <f t="array" ref="H159">_xlfn.IFS(
OR(G159="Abuja",G159="Fct",G159="Abj"),"Abuja Municipal",
G159="Lagos","Ikeja",
G159="Oyo","Ibadan",
G159="Kano","Kano Municipal",
G159="Enugu","Enugu North",
G159="Rivers","Port Harcourt"
)</f>
        <v>Kano Municipal</v>
      </c>
      <c r="I159" t="s">
        <v>86</v>
      </c>
      <c r="J159" t="s">
        <v>87</v>
      </c>
      <c r="K159" t="s">
        <v>23</v>
      </c>
      <c r="L159" t="s">
        <v>32</v>
      </c>
      <c r="M159" t="s">
        <v>18</v>
      </c>
      <c r="N159" t="s">
        <v>9</v>
      </c>
      <c r="O159">
        <v>4</v>
      </c>
      <c r="P159">
        <v>6500</v>
      </c>
      <c r="Q159">
        <v>26000</v>
      </c>
      <c r="R159">
        <v>0.2</v>
      </c>
      <c r="S159">
        <v>5200</v>
      </c>
      <c r="T159">
        <v>3000</v>
      </c>
      <c r="U159">
        <v>1800</v>
      </c>
      <c r="V159">
        <v>390</v>
      </c>
      <c r="W159">
        <v>20800</v>
      </c>
      <c r="X159">
        <v>11440</v>
      </c>
      <c r="Y159">
        <v>10170</v>
      </c>
      <c r="Z159">
        <f t="shared" si="8"/>
        <v>2025</v>
      </c>
      <c r="AA159" t="str">
        <f t="shared" si="9"/>
        <v>November</v>
      </c>
      <c r="AB159">
        <f t="shared" si="10"/>
        <v>11</v>
      </c>
      <c r="AC159" t="str">
        <f t="shared" si="11"/>
        <v>Q4</v>
      </c>
    </row>
    <row r="160" spans="1:29" x14ac:dyDescent="0.35">
      <c r="A160" t="s">
        <v>213</v>
      </c>
      <c r="B160" s="3">
        <v>45803</v>
      </c>
      <c r="C160" s="3">
        <v>45804</v>
      </c>
      <c r="D160" t="s">
        <v>62</v>
      </c>
      <c r="E160" t="s">
        <v>55</v>
      </c>
      <c r="F160" t="s">
        <v>13</v>
      </c>
      <c r="G160" t="s">
        <v>31</v>
      </c>
      <c r="H160" t="str" cm="1">
        <f t="array" ref="H160">_xlfn.IFS(
OR(G160="Abuja",G160="Fct",G160="Abj"),"Abuja Municipal",
G160="Lagos","Ikeja",
G160="Oyo","Ibadan",
G160="Kano","Kano Municipal",
G160="Enugu","Enugu North",
G160="Rivers","Port Harcourt"
)</f>
        <v>Kano Municipal</v>
      </c>
      <c r="I160" t="s">
        <v>15</v>
      </c>
      <c r="J160" t="s">
        <v>16</v>
      </c>
      <c r="K160" t="s">
        <v>17</v>
      </c>
      <c r="L160" t="s">
        <v>8</v>
      </c>
      <c r="M160" t="s">
        <v>24</v>
      </c>
      <c r="N160" t="s">
        <v>9</v>
      </c>
      <c r="O160">
        <v>5</v>
      </c>
      <c r="P160">
        <v>25500</v>
      </c>
      <c r="Q160">
        <v>127500</v>
      </c>
      <c r="R160">
        <v>0.15</v>
      </c>
      <c r="S160">
        <v>19125</v>
      </c>
      <c r="T160">
        <v>3000</v>
      </c>
      <c r="U160">
        <v>2800</v>
      </c>
      <c r="V160">
        <v>1912.5</v>
      </c>
      <c r="W160">
        <v>108375</v>
      </c>
      <c r="X160">
        <v>59606.25</v>
      </c>
      <c r="Y160">
        <v>47056.25</v>
      </c>
      <c r="Z160">
        <f t="shared" si="8"/>
        <v>2025</v>
      </c>
      <c r="AA160" t="str">
        <f t="shared" si="9"/>
        <v>May</v>
      </c>
      <c r="AB160">
        <f t="shared" si="10"/>
        <v>5</v>
      </c>
      <c r="AC160" t="str">
        <f t="shared" si="11"/>
        <v>Q2</v>
      </c>
    </row>
    <row r="161" spans="1:29" x14ac:dyDescent="0.35">
      <c r="A161" t="s">
        <v>214</v>
      </c>
      <c r="B161" s="3">
        <v>45950</v>
      </c>
      <c r="C161" s="3">
        <v>45955</v>
      </c>
      <c r="D161" t="s">
        <v>20</v>
      </c>
      <c r="E161" t="s">
        <v>52</v>
      </c>
      <c r="F161" t="s">
        <v>3</v>
      </c>
      <c r="G161" t="s">
        <v>14</v>
      </c>
      <c r="H161" t="str" cm="1">
        <f t="array" ref="H161">_xlfn.IFS(
OR(G161="Abuja",G161="Fct",G161="Abj"),"Abuja Municipal",
G161="Lagos","Ikeja",
G161="Oyo","Ibadan",
G161="Kano","Kano Municipal",
G161="Enugu","Enugu North",
G161="Rivers","Port Harcourt"
)</f>
        <v>Ibadan</v>
      </c>
      <c r="I161" t="s">
        <v>59</v>
      </c>
      <c r="J161" t="s">
        <v>60</v>
      </c>
      <c r="K161" t="s">
        <v>42</v>
      </c>
      <c r="L161" t="s">
        <v>32</v>
      </c>
      <c r="M161" t="s">
        <v>18</v>
      </c>
      <c r="N161" t="s">
        <v>9</v>
      </c>
      <c r="O161">
        <v>1</v>
      </c>
      <c r="P161">
        <v>15000</v>
      </c>
      <c r="Q161">
        <v>15000</v>
      </c>
      <c r="R161">
        <v>0.15</v>
      </c>
      <c r="S161">
        <v>2250</v>
      </c>
      <c r="T161">
        <v>2000</v>
      </c>
      <c r="U161">
        <v>2200</v>
      </c>
      <c r="V161">
        <v>225</v>
      </c>
      <c r="W161">
        <v>12750</v>
      </c>
      <c r="X161">
        <v>7012.5</v>
      </c>
      <c r="Y161">
        <v>5312.5</v>
      </c>
      <c r="Z161">
        <f t="shared" si="8"/>
        <v>2025</v>
      </c>
      <c r="AA161" t="str">
        <f t="shared" si="9"/>
        <v>October</v>
      </c>
      <c r="AB161">
        <f t="shared" si="10"/>
        <v>10</v>
      </c>
      <c r="AC161" t="str">
        <f t="shared" si="11"/>
        <v>Q4</v>
      </c>
    </row>
    <row r="162" spans="1:29" x14ac:dyDescent="0.35">
      <c r="A162" t="s">
        <v>215</v>
      </c>
      <c r="B162" s="3">
        <v>45810</v>
      </c>
      <c r="C162" s="3">
        <v>45813</v>
      </c>
      <c r="D162" t="s">
        <v>75</v>
      </c>
      <c r="E162" t="s">
        <v>2</v>
      </c>
      <c r="F162" t="s">
        <v>44</v>
      </c>
      <c r="G162" t="s">
        <v>53</v>
      </c>
      <c r="H162" t="str" cm="1">
        <f t="array" ref="H162">_xlfn.IFS(
OR(G162="Abuja",G162="Fct",G162="Abj"),"Abuja Municipal",
G162="Lagos","Ikeja",
G162="Oyo","Ibadan",
G162="Kano","Kano Municipal",
G162="Enugu","Enugu North",
G162="Rivers","Port Harcourt"
)</f>
        <v>Ikeja</v>
      </c>
      <c r="I162" t="s">
        <v>59</v>
      </c>
      <c r="J162" t="s">
        <v>60</v>
      </c>
      <c r="K162" t="s">
        <v>42</v>
      </c>
      <c r="L162" t="s">
        <v>8</v>
      </c>
      <c r="M162" t="s">
        <v>24</v>
      </c>
      <c r="N162" t="s">
        <v>9</v>
      </c>
      <c r="O162">
        <v>1</v>
      </c>
      <c r="P162">
        <v>25500</v>
      </c>
      <c r="Q162">
        <v>25500</v>
      </c>
      <c r="R162">
        <v>0.2</v>
      </c>
      <c r="S162">
        <v>5100</v>
      </c>
      <c r="T162">
        <v>2000</v>
      </c>
      <c r="U162">
        <v>3200</v>
      </c>
      <c r="V162">
        <v>382.5</v>
      </c>
      <c r="W162">
        <v>20400</v>
      </c>
      <c r="X162">
        <v>11220</v>
      </c>
      <c r="Y162">
        <v>7597.5</v>
      </c>
      <c r="Z162">
        <f t="shared" si="8"/>
        <v>2025</v>
      </c>
      <c r="AA162" t="str">
        <f t="shared" si="9"/>
        <v>June</v>
      </c>
      <c r="AB162">
        <f t="shared" si="10"/>
        <v>6</v>
      </c>
      <c r="AC162" t="str">
        <f t="shared" si="11"/>
        <v>Q2</v>
      </c>
    </row>
    <row r="163" spans="1:29" x14ac:dyDescent="0.35">
      <c r="A163" t="s">
        <v>216</v>
      </c>
      <c r="B163" s="3">
        <v>45850</v>
      </c>
      <c r="C163" s="3">
        <v>45853</v>
      </c>
      <c r="D163" t="s">
        <v>11</v>
      </c>
      <c r="E163" t="s">
        <v>55</v>
      </c>
      <c r="F163" t="s">
        <v>3</v>
      </c>
      <c r="G163" t="s">
        <v>27</v>
      </c>
      <c r="H163" t="str" cm="1">
        <f t="array" ref="H163">_xlfn.IFS(
OR(G163="Abuja",G163="Fct",G163="Abj"),"Abuja Municipal",
G163="Lagos","Ikeja",
G163="Oyo","Ibadan",
G163="Kano","Kano Municipal",
G163="Enugu","Enugu North",
G163="Rivers","Port Harcourt"
)</f>
        <v>Port Harcourt</v>
      </c>
      <c r="I163" t="s">
        <v>5</v>
      </c>
      <c r="J163" t="s">
        <v>6</v>
      </c>
      <c r="K163" t="s">
        <v>7</v>
      </c>
      <c r="L163" t="s">
        <v>28</v>
      </c>
      <c r="M163" t="s">
        <v>18</v>
      </c>
      <c r="N163" t="s">
        <v>9</v>
      </c>
      <c r="O163">
        <v>4</v>
      </c>
      <c r="P163">
        <v>18500</v>
      </c>
      <c r="Q163">
        <v>74000</v>
      </c>
      <c r="R163">
        <v>0.15</v>
      </c>
      <c r="S163">
        <v>11100</v>
      </c>
      <c r="T163">
        <v>2500</v>
      </c>
      <c r="U163">
        <v>3200</v>
      </c>
      <c r="V163">
        <v>1110</v>
      </c>
      <c r="W163">
        <v>62900</v>
      </c>
      <c r="X163">
        <v>34595</v>
      </c>
      <c r="Y163">
        <v>26495</v>
      </c>
      <c r="Z163">
        <f t="shared" si="8"/>
        <v>2025</v>
      </c>
      <c r="AA163" t="str">
        <f t="shared" si="9"/>
        <v>July</v>
      </c>
      <c r="AB163">
        <f t="shared" si="10"/>
        <v>7</v>
      </c>
      <c r="AC163" t="str">
        <f t="shared" si="11"/>
        <v>Q3</v>
      </c>
    </row>
    <row r="164" spans="1:29" x14ac:dyDescent="0.35">
      <c r="A164" t="s">
        <v>217</v>
      </c>
      <c r="B164" s="3">
        <v>45730</v>
      </c>
      <c r="C164" s="3">
        <v>45731</v>
      </c>
      <c r="D164" t="s">
        <v>71</v>
      </c>
      <c r="E164" t="s">
        <v>12</v>
      </c>
      <c r="F164" t="s">
        <v>44</v>
      </c>
      <c r="G164" t="s">
        <v>31</v>
      </c>
      <c r="H164" t="str" cm="1">
        <f t="array" ref="H164">_xlfn.IFS(
OR(G164="Abuja",G164="Fct",G164="Abj"),"Abuja Municipal",
G164="Lagos","Ikeja",
G164="Oyo","Ibadan",
G164="Kano","Kano Municipal",
G164="Enugu","Enugu North",
G164="Rivers","Port Harcourt"
)</f>
        <v>Kano Municipal</v>
      </c>
      <c r="I164" t="s">
        <v>86</v>
      </c>
      <c r="J164" t="s">
        <v>87</v>
      </c>
      <c r="K164" t="s">
        <v>23</v>
      </c>
      <c r="L164" t="s">
        <v>8</v>
      </c>
      <c r="M164" t="s">
        <v>24</v>
      </c>
      <c r="N164" t="s">
        <v>9</v>
      </c>
      <c r="O164">
        <v>4</v>
      </c>
      <c r="P164">
        <v>78000</v>
      </c>
      <c r="Q164">
        <v>312000</v>
      </c>
      <c r="R164">
        <v>0.15</v>
      </c>
      <c r="S164">
        <v>46800</v>
      </c>
      <c r="T164">
        <v>3000</v>
      </c>
      <c r="U164">
        <v>3200</v>
      </c>
      <c r="V164">
        <v>4680</v>
      </c>
      <c r="W164">
        <v>265200</v>
      </c>
      <c r="X164">
        <v>145860</v>
      </c>
      <c r="Y164">
        <v>114460</v>
      </c>
      <c r="Z164">
        <f t="shared" si="8"/>
        <v>2025</v>
      </c>
      <c r="AA164" t="str">
        <f t="shared" si="9"/>
        <v>March</v>
      </c>
      <c r="AB164">
        <f t="shared" si="10"/>
        <v>3</v>
      </c>
      <c r="AC164" t="str">
        <f t="shared" si="11"/>
        <v>Q1</v>
      </c>
    </row>
    <row r="165" spans="1:29" x14ac:dyDescent="0.35">
      <c r="A165" t="s">
        <v>218</v>
      </c>
      <c r="B165" s="3">
        <v>45962</v>
      </c>
      <c r="C165" s="3">
        <v>45964</v>
      </c>
      <c r="D165" t="s">
        <v>71</v>
      </c>
      <c r="E165" t="s">
        <v>48</v>
      </c>
      <c r="F165" t="s">
        <v>44</v>
      </c>
      <c r="G165" t="s">
        <v>53</v>
      </c>
      <c r="H165" t="str" cm="1">
        <f t="array" ref="H165">_xlfn.IFS(
OR(G165="Abuja",G165="Fct",G165="Abj"),"Abuja Municipal",
G165="Lagos","Ikeja",
G165="Oyo","Ibadan",
G165="Kano","Kano Municipal",
G165="Enugu","Enugu North",
G165="Rivers","Port Harcourt"
)</f>
        <v>Ikeja</v>
      </c>
      <c r="I165" t="s">
        <v>86</v>
      </c>
      <c r="J165" t="s">
        <v>87</v>
      </c>
      <c r="K165" t="s">
        <v>23</v>
      </c>
      <c r="L165" t="s">
        <v>8</v>
      </c>
      <c r="M165" t="s">
        <v>303</v>
      </c>
      <c r="N165" t="s">
        <v>9</v>
      </c>
      <c r="O165">
        <v>4</v>
      </c>
      <c r="P165">
        <v>25500</v>
      </c>
      <c r="Q165">
        <v>102000</v>
      </c>
      <c r="R165">
        <v>0.15</v>
      </c>
      <c r="S165">
        <v>15300</v>
      </c>
      <c r="T165">
        <v>3000</v>
      </c>
      <c r="U165">
        <v>3200</v>
      </c>
      <c r="V165">
        <v>1530</v>
      </c>
      <c r="W165">
        <v>86700</v>
      </c>
      <c r="X165">
        <v>60690</v>
      </c>
      <c r="Y165">
        <v>24280</v>
      </c>
      <c r="Z165">
        <f t="shared" si="8"/>
        <v>2025</v>
      </c>
      <c r="AA165" t="str">
        <f t="shared" si="9"/>
        <v>November</v>
      </c>
      <c r="AB165">
        <f t="shared" si="10"/>
        <v>11</v>
      </c>
      <c r="AC165" t="str">
        <f t="shared" si="11"/>
        <v>Q4</v>
      </c>
    </row>
    <row r="166" spans="1:29" x14ac:dyDescent="0.35">
      <c r="A166" t="s">
        <v>219</v>
      </c>
      <c r="B166" s="3">
        <v>46001</v>
      </c>
      <c r="C166" s="3">
        <v>46005</v>
      </c>
      <c r="D166" t="s">
        <v>33</v>
      </c>
      <c r="E166" t="s">
        <v>12</v>
      </c>
      <c r="F166" t="s">
        <v>44</v>
      </c>
      <c r="G166" t="s">
        <v>53</v>
      </c>
      <c r="H166" t="str" cm="1">
        <f t="array" ref="H166">_xlfn.IFS(
OR(G166="Abuja",G166="Fct",G166="Abj"),"Abuja Municipal",
G166="Lagos","Ikeja",
G166="Oyo","Ibadan",
G166="Kano","Kano Municipal",
G166="Enugu","Enugu North",
G166="Rivers","Port Harcourt"
)</f>
        <v>Ikeja</v>
      </c>
      <c r="I166" t="s">
        <v>21</v>
      </c>
      <c r="J166" t="s">
        <v>22</v>
      </c>
      <c r="K166" t="s">
        <v>23</v>
      </c>
      <c r="L166" t="s">
        <v>28</v>
      </c>
      <c r="M166" t="s">
        <v>18</v>
      </c>
      <c r="N166" t="s">
        <v>36</v>
      </c>
      <c r="O166">
        <v>3</v>
      </c>
      <c r="P166">
        <v>15000</v>
      </c>
      <c r="Q166">
        <v>45000</v>
      </c>
      <c r="R166">
        <v>0.05</v>
      </c>
      <c r="S166">
        <v>2250</v>
      </c>
      <c r="T166">
        <v>2500</v>
      </c>
      <c r="U166">
        <v>1800</v>
      </c>
      <c r="V166">
        <v>675</v>
      </c>
      <c r="W166">
        <v>42750</v>
      </c>
      <c r="X166">
        <v>27787.5</v>
      </c>
      <c r="Y166">
        <v>14987.5</v>
      </c>
      <c r="Z166">
        <f t="shared" si="8"/>
        <v>2025</v>
      </c>
      <c r="AA166" t="str">
        <f t="shared" si="9"/>
        <v>December</v>
      </c>
      <c r="AB166">
        <f t="shared" si="10"/>
        <v>12</v>
      </c>
      <c r="AC166" t="str">
        <f t="shared" si="11"/>
        <v>Q4</v>
      </c>
    </row>
    <row r="167" spans="1:29" x14ac:dyDescent="0.35">
      <c r="A167" t="s">
        <v>220</v>
      </c>
      <c r="B167" s="3">
        <v>45797</v>
      </c>
      <c r="C167" s="3">
        <v>45803</v>
      </c>
      <c r="D167" t="s">
        <v>11</v>
      </c>
      <c r="E167" t="s">
        <v>39</v>
      </c>
      <c r="F167" t="s">
        <v>13</v>
      </c>
      <c r="G167" t="s">
        <v>31</v>
      </c>
      <c r="H167" t="str" cm="1">
        <f t="array" ref="H167">_xlfn.IFS(
OR(G167="Abuja",G167="Fct",G167="Abj"),"Abuja Municipal",
G167="Lagos","Ikeja",
G167="Oyo","Ibadan",
G167="Kano","Kano Municipal",
G167="Enugu","Enugu North",
G167="Rivers","Port Harcourt"
)</f>
        <v>Kano Municipal</v>
      </c>
      <c r="I167" t="s">
        <v>40</v>
      </c>
      <c r="J167" t="s">
        <v>41</v>
      </c>
      <c r="K167" t="s">
        <v>42</v>
      </c>
      <c r="L167" t="s">
        <v>28</v>
      </c>
      <c r="M167" t="s">
        <v>303</v>
      </c>
      <c r="N167" t="s">
        <v>9</v>
      </c>
      <c r="O167">
        <v>5</v>
      </c>
      <c r="P167">
        <v>15000</v>
      </c>
      <c r="Q167">
        <v>75000</v>
      </c>
      <c r="R167">
        <v>0.2</v>
      </c>
      <c r="S167">
        <v>15000</v>
      </c>
      <c r="T167">
        <v>1500</v>
      </c>
      <c r="U167">
        <v>1000</v>
      </c>
      <c r="V167">
        <v>1125</v>
      </c>
      <c r="W167">
        <v>60000</v>
      </c>
      <c r="X167">
        <v>33000</v>
      </c>
      <c r="Y167">
        <v>26375</v>
      </c>
      <c r="Z167">
        <f t="shared" si="8"/>
        <v>2025</v>
      </c>
      <c r="AA167" t="str">
        <f t="shared" si="9"/>
        <v>May</v>
      </c>
      <c r="AB167">
        <f t="shared" si="10"/>
        <v>5</v>
      </c>
      <c r="AC167" t="str">
        <f t="shared" si="11"/>
        <v>Q2</v>
      </c>
    </row>
    <row r="168" spans="1:29" x14ac:dyDescent="0.35">
      <c r="A168" t="s">
        <v>221</v>
      </c>
      <c r="B168" s="3">
        <v>45844</v>
      </c>
      <c r="C168" s="3">
        <v>45851</v>
      </c>
      <c r="D168" t="s">
        <v>1</v>
      </c>
      <c r="E168" t="s">
        <v>39</v>
      </c>
      <c r="F168" t="s">
        <v>13</v>
      </c>
      <c r="G168" t="s">
        <v>4</v>
      </c>
      <c r="H168" t="str" cm="1">
        <f t="array" ref="H168">_xlfn.IFS(
OR(G168="Abuja",G168="Fct",G168="Abj"),"Abuja Municipal",
G168="Lagos","Ikeja",
G168="Oyo","Ibadan",
G168="Kano","Kano Municipal",
G168="Enugu","Enugu North",
G168="Rivers","Port Harcourt"
)</f>
        <v>Enugu North</v>
      </c>
      <c r="I168" t="s">
        <v>49</v>
      </c>
      <c r="J168" t="s">
        <v>50</v>
      </c>
      <c r="K168" t="s">
        <v>42</v>
      </c>
      <c r="L168" t="s">
        <v>32</v>
      </c>
      <c r="M168" t="s">
        <v>18</v>
      </c>
      <c r="N168" t="s">
        <v>9</v>
      </c>
      <c r="O168">
        <v>4</v>
      </c>
      <c r="P168">
        <v>15000</v>
      </c>
      <c r="Q168">
        <v>60000</v>
      </c>
      <c r="R168">
        <v>0.15</v>
      </c>
      <c r="S168">
        <v>9000</v>
      </c>
      <c r="T168">
        <v>2500</v>
      </c>
      <c r="U168">
        <v>2200</v>
      </c>
      <c r="V168">
        <v>900</v>
      </c>
      <c r="W168">
        <v>51000</v>
      </c>
      <c r="X168">
        <v>30600</v>
      </c>
      <c r="Y168">
        <v>19800</v>
      </c>
      <c r="Z168">
        <f t="shared" si="8"/>
        <v>2025</v>
      </c>
      <c r="AA168" t="str">
        <f t="shared" si="9"/>
        <v>July</v>
      </c>
      <c r="AB168">
        <f t="shared" si="10"/>
        <v>7</v>
      </c>
      <c r="AC168" t="str">
        <f t="shared" si="11"/>
        <v>Q3</v>
      </c>
    </row>
    <row r="169" spans="1:29" x14ac:dyDescent="0.35">
      <c r="A169" t="s">
        <v>222</v>
      </c>
      <c r="B169" s="3">
        <v>45950</v>
      </c>
      <c r="C169" s="3">
        <v>45952</v>
      </c>
      <c r="D169" t="s">
        <v>65</v>
      </c>
      <c r="E169" t="s">
        <v>48</v>
      </c>
      <c r="F169" t="s">
        <v>3</v>
      </c>
      <c r="G169" t="s">
        <v>53</v>
      </c>
      <c r="H169" t="str" cm="1">
        <f t="array" ref="H169">_xlfn.IFS(
OR(G169="Abuja",G169="Fct",G169="Abj"),"Abuja Municipal",
G169="Lagos","Ikeja",
G169="Oyo","Ibadan",
G169="Kano","Kano Municipal",
G169="Enugu","Enugu North",
G169="Rivers","Port Harcourt"
)</f>
        <v>Ikeja</v>
      </c>
      <c r="I169" t="s">
        <v>59</v>
      </c>
      <c r="J169" t="s">
        <v>60</v>
      </c>
      <c r="K169" t="s">
        <v>42</v>
      </c>
      <c r="L169" t="s">
        <v>32</v>
      </c>
      <c r="M169" t="s">
        <v>24</v>
      </c>
      <c r="N169" t="s">
        <v>9</v>
      </c>
      <c r="O169">
        <v>2</v>
      </c>
      <c r="P169">
        <v>18500</v>
      </c>
      <c r="Q169">
        <v>37000</v>
      </c>
      <c r="R169">
        <v>0.2</v>
      </c>
      <c r="S169">
        <v>7400</v>
      </c>
      <c r="T169">
        <v>3500</v>
      </c>
      <c r="U169">
        <v>1800</v>
      </c>
      <c r="V169">
        <v>555</v>
      </c>
      <c r="W169">
        <v>29600</v>
      </c>
      <c r="X169">
        <v>20720</v>
      </c>
      <c r="Y169">
        <v>10025</v>
      </c>
      <c r="Z169">
        <f t="shared" si="8"/>
        <v>2025</v>
      </c>
      <c r="AA169" t="str">
        <f t="shared" si="9"/>
        <v>October</v>
      </c>
      <c r="AB169">
        <f t="shared" si="10"/>
        <v>10</v>
      </c>
      <c r="AC169" t="str">
        <f t="shared" si="11"/>
        <v>Q4</v>
      </c>
    </row>
    <row r="170" spans="1:29" x14ac:dyDescent="0.35">
      <c r="A170" t="s">
        <v>223</v>
      </c>
      <c r="B170" s="3">
        <v>45718</v>
      </c>
      <c r="C170" s="3">
        <v>45723</v>
      </c>
      <c r="D170" t="s">
        <v>38</v>
      </c>
      <c r="E170" t="s">
        <v>30</v>
      </c>
      <c r="F170" t="s">
        <v>44</v>
      </c>
      <c r="G170" t="s">
        <v>35</v>
      </c>
      <c r="H170" t="str" cm="1">
        <f t="array" ref="H170">_xlfn.IFS(
OR(G170="Abuja",G170="Fct",G170="Abj"),"Abuja Municipal",
G170="Lagos","Ikeja",
G170="Oyo","Ibadan",
G170="Kano","Kano Municipal",
G170="Enugu","Enugu North",
G170="Rivers","Port Harcourt"
)</f>
        <v>Abuja Municipal</v>
      </c>
      <c r="I170" t="s">
        <v>86</v>
      </c>
      <c r="J170" t="s">
        <v>87</v>
      </c>
      <c r="K170" t="s">
        <v>23</v>
      </c>
      <c r="L170" t="s">
        <v>28</v>
      </c>
      <c r="M170" t="s">
        <v>18</v>
      </c>
      <c r="N170" t="s">
        <v>9</v>
      </c>
      <c r="O170">
        <v>2</v>
      </c>
      <c r="P170">
        <v>25500</v>
      </c>
      <c r="Q170">
        <v>51000</v>
      </c>
      <c r="R170">
        <v>0.1</v>
      </c>
      <c r="S170">
        <v>5100</v>
      </c>
      <c r="T170">
        <v>3000</v>
      </c>
      <c r="U170">
        <v>3200</v>
      </c>
      <c r="V170">
        <v>765</v>
      </c>
      <c r="W170">
        <v>45900</v>
      </c>
      <c r="X170">
        <v>32130</v>
      </c>
      <c r="Y170">
        <v>12805</v>
      </c>
      <c r="Z170">
        <f t="shared" si="8"/>
        <v>2025</v>
      </c>
      <c r="AA170" t="str">
        <f t="shared" si="9"/>
        <v>March</v>
      </c>
      <c r="AB170">
        <f t="shared" si="10"/>
        <v>3</v>
      </c>
      <c r="AC170" t="str">
        <f t="shared" si="11"/>
        <v>Q1</v>
      </c>
    </row>
    <row r="171" spans="1:29" x14ac:dyDescent="0.35">
      <c r="A171" t="s">
        <v>224</v>
      </c>
      <c r="B171" s="3">
        <v>45855</v>
      </c>
      <c r="C171" s="3">
        <v>45858</v>
      </c>
      <c r="D171" t="s">
        <v>71</v>
      </c>
      <c r="E171" t="s">
        <v>34</v>
      </c>
      <c r="F171" t="s">
        <v>44</v>
      </c>
      <c r="G171" t="s">
        <v>31</v>
      </c>
      <c r="H171" t="str" cm="1">
        <f t="array" ref="H171">_xlfn.IFS(
OR(G171="Abuja",G171="Fct",G171="Abj"),"Abuja Municipal",
G171="Lagos","Ikeja",
G171="Oyo","Ibadan",
G171="Kano","Kano Municipal",
G171="Enugu","Enugu North",
G171="Rivers","Port Harcourt"
)</f>
        <v>Kano Municipal</v>
      </c>
      <c r="I171" t="s">
        <v>21</v>
      </c>
      <c r="J171" t="s">
        <v>22</v>
      </c>
      <c r="K171" t="s">
        <v>23</v>
      </c>
      <c r="L171" t="s">
        <v>28</v>
      </c>
      <c r="M171" t="s">
        <v>18</v>
      </c>
      <c r="N171" t="s">
        <v>9</v>
      </c>
      <c r="O171">
        <v>1</v>
      </c>
      <c r="P171">
        <v>32000</v>
      </c>
      <c r="Q171">
        <v>32000</v>
      </c>
      <c r="R171">
        <v>0.1</v>
      </c>
      <c r="S171">
        <v>3200</v>
      </c>
      <c r="T171">
        <v>2000</v>
      </c>
      <c r="U171">
        <v>1000</v>
      </c>
      <c r="V171">
        <v>480</v>
      </c>
      <c r="W171">
        <v>28800</v>
      </c>
      <c r="X171">
        <v>15840</v>
      </c>
      <c r="Y171">
        <v>13480</v>
      </c>
      <c r="Z171">
        <f t="shared" si="8"/>
        <v>2025</v>
      </c>
      <c r="AA171" t="str">
        <f t="shared" si="9"/>
        <v>July</v>
      </c>
      <c r="AB171">
        <f t="shared" si="10"/>
        <v>7</v>
      </c>
      <c r="AC171" t="str">
        <f t="shared" si="11"/>
        <v>Q3</v>
      </c>
    </row>
    <row r="172" spans="1:29" x14ac:dyDescent="0.35">
      <c r="A172" t="s">
        <v>225</v>
      </c>
      <c r="B172" s="3">
        <v>45952</v>
      </c>
      <c r="C172" s="3">
        <v>45953</v>
      </c>
      <c r="D172" t="s">
        <v>26</v>
      </c>
      <c r="E172" t="s">
        <v>34</v>
      </c>
      <c r="F172" t="s">
        <v>13</v>
      </c>
      <c r="G172" t="s">
        <v>27</v>
      </c>
      <c r="H172" t="str" cm="1">
        <f t="array" ref="H172">_xlfn.IFS(
OR(G172="Abuja",G172="Fct",G172="Abj"),"Abuja Municipal",
G172="Lagos","Ikeja",
G172="Oyo","Ibadan",
G172="Kano","Kano Municipal",
G172="Enugu","Enugu North",
G172="Rivers","Port Harcourt"
)</f>
        <v>Port Harcourt</v>
      </c>
      <c r="I172" t="s">
        <v>56</v>
      </c>
      <c r="J172" t="s">
        <v>57</v>
      </c>
      <c r="K172" t="s">
        <v>17</v>
      </c>
      <c r="L172" t="s">
        <v>28</v>
      </c>
      <c r="M172" t="s">
        <v>18</v>
      </c>
      <c r="N172" t="s">
        <v>9</v>
      </c>
      <c r="O172">
        <v>5</v>
      </c>
      <c r="P172">
        <v>78000</v>
      </c>
      <c r="Q172">
        <v>390000</v>
      </c>
      <c r="R172">
        <v>0.15</v>
      </c>
      <c r="S172">
        <v>58500</v>
      </c>
      <c r="T172">
        <v>3500</v>
      </c>
      <c r="U172">
        <v>2800</v>
      </c>
      <c r="V172">
        <v>5850</v>
      </c>
      <c r="W172">
        <v>331500</v>
      </c>
      <c r="X172">
        <v>232050</v>
      </c>
      <c r="Y172">
        <v>94300</v>
      </c>
      <c r="Z172">
        <f t="shared" si="8"/>
        <v>2025</v>
      </c>
      <c r="AA172" t="str">
        <f t="shared" si="9"/>
        <v>October</v>
      </c>
      <c r="AB172">
        <f t="shared" si="10"/>
        <v>10</v>
      </c>
      <c r="AC172" t="str">
        <f t="shared" si="11"/>
        <v>Q4</v>
      </c>
    </row>
    <row r="173" spans="1:29" x14ac:dyDescent="0.35">
      <c r="A173" t="s">
        <v>226</v>
      </c>
      <c r="B173" s="3">
        <v>45976</v>
      </c>
      <c r="C173" s="3">
        <v>45977</v>
      </c>
      <c r="D173" t="s">
        <v>71</v>
      </c>
      <c r="E173" t="s">
        <v>39</v>
      </c>
      <c r="F173" t="s">
        <v>44</v>
      </c>
      <c r="G173" t="s">
        <v>35</v>
      </c>
      <c r="H173" t="str" cm="1">
        <f t="array" ref="H173">_xlfn.IFS(
OR(G173="Abuja",G173="Fct",G173="Abj"),"Abuja Municipal",
G173="Lagos","Ikeja",
G173="Oyo","Ibadan",
G173="Kano","Kano Municipal",
G173="Enugu","Enugu North",
G173="Rivers","Port Harcourt"
)</f>
        <v>Abuja Municipal</v>
      </c>
      <c r="I173" t="s">
        <v>21</v>
      </c>
      <c r="J173" t="s">
        <v>22</v>
      </c>
      <c r="K173" t="s">
        <v>23</v>
      </c>
      <c r="L173" t="s">
        <v>8</v>
      </c>
      <c r="M173" t="s">
        <v>18</v>
      </c>
      <c r="N173" t="s">
        <v>9</v>
      </c>
      <c r="O173">
        <v>4</v>
      </c>
      <c r="P173">
        <v>45000</v>
      </c>
      <c r="Q173">
        <v>180000</v>
      </c>
      <c r="R173">
        <v>0.2</v>
      </c>
      <c r="S173">
        <v>36000</v>
      </c>
      <c r="T173">
        <v>3000</v>
      </c>
      <c r="U173">
        <v>2800</v>
      </c>
      <c r="V173">
        <v>2700</v>
      </c>
      <c r="W173">
        <v>144000</v>
      </c>
      <c r="X173">
        <v>79200</v>
      </c>
      <c r="Y173">
        <v>62300</v>
      </c>
      <c r="Z173">
        <f t="shared" si="8"/>
        <v>2025</v>
      </c>
      <c r="AA173" t="str">
        <f t="shared" si="9"/>
        <v>November</v>
      </c>
      <c r="AB173">
        <f t="shared" si="10"/>
        <v>11</v>
      </c>
      <c r="AC173" t="str">
        <f t="shared" si="11"/>
        <v>Q4</v>
      </c>
    </row>
    <row r="174" spans="1:29" x14ac:dyDescent="0.35">
      <c r="A174" t="s">
        <v>227</v>
      </c>
      <c r="B174" s="3">
        <v>45959</v>
      </c>
      <c r="C174" s="3">
        <v>45963</v>
      </c>
      <c r="D174" t="s">
        <v>20</v>
      </c>
      <c r="E174" t="s">
        <v>39</v>
      </c>
      <c r="F174" t="s">
        <v>13</v>
      </c>
      <c r="G174" t="s">
        <v>53</v>
      </c>
      <c r="H174" t="str" cm="1">
        <f t="array" ref="H174">_xlfn.IFS(
OR(G174="Abuja",G174="Fct",G174="Abj"),"Abuja Municipal",
G174="Lagos","Ikeja",
G174="Oyo","Ibadan",
G174="Kano","Kano Municipal",
G174="Enugu","Enugu North",
G174="Rivers","Port Harcourt"
)</f>
        <v>Ikeja</v>
      </c>
      <c r="I174" t="s">
        <v>59</v>
      </c>
      <c r="J174" t="s">
        <v>60</v>
      </c>
      <c r="K174" t="s">
        <v>42</v>
      </c>
      <c r="L174" t="s">
        <v>8</v>
      </c>
      <c r="M174" t="s">
        <v>24</v>
      </c>
      <c r="N174" t="s">
        <v>46</v>
      </c>
      <c r="O174">
        <v>2</v>
      </c>
      <c r="P174">
        <v>25500</v>
      </c>
      <c r="Q174">
        <v>51000</v>
      </c>
      <c r="R174">
        <v>0.2</v>
      </c>
      <c r="S174">
        <v>10200</v>
      </c>
      <c r="T174">
        <v>2500</v>
      </c>
      <c r="U174">
        <v>2800</v>
      </c>
      <c r="V174">
        <v>765</v>
      </c>
      <c r="W174">
        <v>40800</v>
      </c>
      <c r="X174">
        <v>26520</v>
      </c>
      <c r="Y174">
        <v>13215</v>
      </c>
      <c r="Z174">
        <f t="shared" si="8"/>
        <v>2025</v>
      </c>
      <c r="AA174" t="str">
        <f t="shared" si="9"/>
        <v>October</v>
      </c>
      <c r="AB174">
        <f t="shared" si="10"/>
        <v>10</v>
      </c>
      <c r="AC174" t="str">
        <f t="shared" si="11"/>
        <v>Q4</v>
      </c>
    </row>
    <row r="175" spans="1:29" x14ac:dyDescent="0.35">
      <c r="A175" t="s">
        <v>228</v>
      </c>
      <c r="B175" s="3">
        <v>46001</v>
      </c>
      <c r="C175" s="3">
        <v>46003</v>
      </c>
      <c r="D175" t="s">
        <v>71</v>
      </c>
      <c r="E175" t="s">
        <v>52</v>
      </c>
      <c r="F175" t="s">
        <v>44</v>
      </c>
      <c r="G175" t="s">
        <v>35</v>
      </c>
      <c r="H175" t="str" cm="1">
        <f t="array" ref="H175">_xlfn.IFS(
OR(G175="Abuja",G175="Fct",G175="Abj"),"Abuja Municipal",
G175="Lagos","Ikeja",
G175="Oyo","Ibadan",
G175="Kano","Kano Municipal",
G175="Enugu","Enugu North",
G175="Rivers","Port Harcourt"
)</f>
        <v>Abuja Municipal</v>
      </c>
      <c r="I175" t="s">
        <v>59</v>
      </c>
      <c r="J175" t="s">
        <v>60</v>
      </c>
      <c r="K175" t="s">
        <v>42</v>
      </c>
      <c r="L175" t="s">
        <v>8</v>
      </c>
      <c r="M175" t="s">
        <v>18</v>
      </c>
      <c r="N175" t="s">
        <v>9</v>
      </c>
      <c r="O175">
        <v>5</v>
      </c>
      <c r="P175">
        <v>15000</v>
      </c>
      <c r="Q175">
        <v>75000</v>
      </c>
      <c r="R175">
        <v>0.2</v>
      </c>
      <c r="S175">
        <v>15000</v>
      </c>
      <c r="T175">
        <v>3500</v>
      </c>
      <c r="U175">
        <v>3200</v>
      </c>
      <c r="V175">
        <v>1125</v>
      </c>
      <c r="W175">
        <v>60000</v>
      </c>
      <c r="X175">
        <v>39000</v>
      </c>
      <c r="Y175">
        <v>20175</v>
      </c>
      <c r="Z175">
        <f t="shared" si="8"/>
        <v>2025</v>
      </c>
      <c r="AA175" t="str">
        <f t="shared" si="9"/>
        <v>December</v>
      </c>
      <c r="AB175">
        <f t="shared" si="10"/>
        <v>12</v>
      </c>
      <c r="AC175" t="str">
        <f t="shared" si="11"/>
        <v>Q4</v>
      </c>
    </row>
    <row r="176" spans="1:29" x14ac:dyDescent="0.35">
      <c r="A176" t="s">
        <v>229</v>
      </c>
      <c r="B176" s="3">
        <v>45668</v>
      </c>
      <c r="C176" s="3">
        <v>45675</v>
      </c>
      <c r="D176" t="s">
        <v>71</v>
      </c>
      <c r="E176" t="s">
        <v>2</v>
      </c>
      <c r="F176" t="s">
        <v>3</v>
      </c>
      <c r="G176" t="s">
        <v>14</v>
      </c>
      <c r="H176" t="str" cm="1">
        <f t="array" ref="H176">_xlfn.IFS(
OR(G176="Abuja",G176="Fct",G176="Abj"),"Abuja Municipal",
G176="Lagos","Ikeja",
G176="Oyo","Ibadan",
G176="Kano","Kano Municipal",
G176="Enugu","Enugu North",
G176="Rivers","Port Harcourt"
)</f>
        <v>Ibadan</v>
      </c>
      <c r="I176" t="s">
        <v>21</v>
      </c>
      <c r="J176" t="s">
        <v>22</v>
      </c>
      <c r="K176" t="s">
        <v>23</v>
      </c>
      <c r="L176" t="s">
        <v>28</v>
      </c>
      <c r="M176" t="s">
        <v>24</v>
      </c>
      <c r="N176" t="s">
        <v>9</v>
      </c>
      <c r="O176">
        <v>1</v>
      </c>
      <c r="P176">
        <v>32000</v>
      </c>
      <c r="Q176">
        <v>32000</v>
      </c>
      <c r="R176">
        <v>0.05</v>
      </c>
      <c r="S176">
        <v>1600</v>
      </c>
      <c r="T176">
        <v>3000</v>
      </c>
      <c r="U176">
        <v>2800</v>
      </c>
      <c r="V176">
        <v>480</v>
      </c>
      <c r="W176">
        <v>30400</v>
      </c>
      <c r="X176">
        <v>21280</v>
      </c>
      <c r="Y176">
        <v>8840</v>
      </c>
      <c r="Z176">
        <f t="shared" si="8"/>
        <v>2025</v>
      </c>
      <c r="AA176" t="str">
        <f t="shared" si="9"/>
        <v>January</v>
      </c>
      <c r="AB176">
        <f t="shared" si="10"/>
        <v>1</v>
      </c>
      <c r="AC176" t="str">
        <f t="shared" si="11"/>
        <v>Q1</v>
      </c>
    </row>
    <row r="177" spans="1:29" x14ac:dyDescent="0.35">
      <c r="A177" t="s">
        <v>230</v>
      </c>
      <c r="B177" s="3">
        <v>45719</v>
      </c>
      <c r="C177" s="3">
        <v>45723</v>
      </c>
      <c r="D177" t="s">
        <v>65</v>
      </c>
      <c r="E177" t="s">
        <v>52</v>
      </c>
      <c r="F177" t="s">
        <v>44</v>
      </c>
      <c r="G177" t="s">
        <v>14</v>
      </c>
      <c r="H177" t="str" cm="1">
        <f t="array" ref="H177">_xlfn.IFS(
OR(G177="Abuja",G177="Fct",G177="Abj"),"Abuja Municipal",
G177="Lagos","Ikeja",
G177="Oyo","Ibadan",
G177="Kano","Kano Municipal",
G177="Enugu","Enugu North",
G177="Rivers","Port Harcourt"
)</f>
        <v>Ibadan</v>
      </c>
      <c r="I177" t="s">
        <v>49</v>
      </c>
      <c r="J177" t="s">
        <v>50</v>
      </c>
      <c r="K177" t="s">
        <v>42</v>
      </c>
      <c r="L177" t="s">
        <v>32</v>
      </c>
      <c r="M177" t="s">
        <v>24</v>
      </c>
      <c r="N177" t="s">
        <v>9</v>
      </c>
      <c r="O177">
        <v>3</v>
      </c>
      <c r="P177">
        <v>45000</v>
      </c>
      <c r="Q177">
        <v>135000</v>
      </c>
      <c r="R177">
        <v>0.1</v>
      </c>
      <c r="S177">
        <v>13500</v>
      </c>
      <c r="T177">
        <v>1500</v>
      </c>
      <c r="U177">
        <v>1500</v>
      </c>
      <c r="V177">
        <v>2025</v>
      </c>
      <c r="W177">
        <v>121500</v>
      </c>
      <c r="X177">
        <v>85050</v>
      </c>
      <c r="Y177">
        <v>34425</v>
      </c>
      <c r="Z177">
        <f t="shared" si="8"/>
        <v>2025</v>
      </c>
      <c r="AA177" t="str">
        <f t="shared" si="9"/>
        <v>March</v>
      </c>
      <c r="AB177">
        <f t="shared" si="10"/>
        <v>3</v>
      </c>
      <c r="AC177" t="str">
        <f t="shared" si="11"/>
        <v>Q1</v>
      </c>
    </row>
    <row r="178" spans="1:29" x14ac:dyDescent="0.35">
      <c r="A178" t="s">
        <v>231</v>
      </c>
      <c r="B178" s="3">
        <v>45990</v>
      </c>
      <c r="C178" s="3">
        <v>45993</v>
      </c>
      <c r="D178" t="s">
        <v>65</v>
      </c>
      <c r="E178" t="s">
        <v>52</v>
      </c>
      <c r="F178" t="s">
        <v>44</v>
      </c>
      <c r="G178" t="s">
        <v>27</v>
      </c>
      <c r="H178" t="str" cm="1">
        <f t="array" ref="H178">_xlfn.IFS(
OR(G178="Abuja",G178="Fct",G178="Abj"),"Abuja Municipal",
G178="Lagos","Ikeja",
G178="Oyo","Ibadan",
G178="Kano","Kano Municipal",
G178="Enugu","Enugu North",
G178="Rivers","Port Harcourt"
)</f>
        <v>Port Harcourt</v>
      </c>
      <c r="I178" t="s">
        <v>15</v>
      </c>
      <c r="J178" t="s">
        <v>16</v>
      </c>
      <c r="K178" t="s">
        <v>17</v>
      </c>
      <c r="L178" t="s">
        <v>28</v>
      </c>
      <c r="M178" t="s">
        <v>303</v>
      </c>
      <c r="N178" t="s">
        <v>9</v>
      </c>
      <c r="O178">
        <v>5</v>
      </c>
      <c r="P178">
        <v>45000</v>
      </c>
      <c r="Q178">
        <v>225000</v>
      </c>
      <c r="R178">
        <v>0.2</v>
      </c>
      <c r="S178">
        <v>45000</v>
      </c>
      <c r="T178">
        <v>1500</v>
      </c>
      <c r="U178">
        <v>2200</v>
      </c>
      <c r="V178">
        <v>3375</v>
      </c>
      <c r="W178">
        <v>180000</v>
      </c>
      <c r="X178">
        <v>108000</v>
      </c>
      <c r="Y178">
        <v>67925</v>
      </c>
      <c r="Z178">
        <f t="shared" si="8"/>
        <v>2025</v>
      </c>
      <c r="AA178" t="str">
        <f t="shared" si="9"/>
        <v>November</v>
      </c>
      <c r="AB178">
        <f t="shared" si="10"/>
        <v>11</v>
      </c>
      <c r="AC178" t="str">
        <f t="shared" si="11"/>
        <v>Q4</v>
      </c>
    </row>
    <row r="179" spans="1:29" x14ac:dyDescent="0.35">
      <c r="A179" t="s">
        <v>232</v>
      </c>
      <c r="B179" s="3">
        <v>45883</v>
      </c>
      <c r="C179" s="3">
        <v>45887</v>
      </c>
      <c r="D179" t="s">
        <v>62</v>
      </c>
      <c r="E179" t="s">
        <v>30</v>
      </c>
      <c r="F179" t="s">
        <v>44</v>
      </c>
      <c r="G179" t="s">
        <v>31</v>
      </c>
      <c r="H179" t="str" cm="1">
        <f t="array" ref="H179">_xlfn.IFS(
OR(G179="Abuja",G179="Fct",G179="Abj"),"Abuja Municipal",
G179="Lagos","Ikeja",
G179="Oyo","Ibadan",
G179="Kano","Kano Municipal",
G179="Enugu","Enugu North",
G179="Rivers","Port Harcourt"
)</f>
        <v>Kano Municipal</v>
      </c>
      <c r="I179" t="s">
        <v>59</v>
      </c>
      <c r="J179" t="s">
        <v>60</v>
      </c>
      <c r="K179" t="s">
        <v>42</v>
      </c>
      <c r="L179" t="s">
        <v>8</v>
      </c>
      <c r="M179" t="s">
        <v>18</v>
      </c>
      <c r="N179" t="s">
        <v>9</v>
      </c>
      <c r="O179">
        <v>5</v>
      </c>
      <c r="P179">
        <v>6500</v>
      </c>
      <c r="Q179">
        <v>32500</v>
      </c>
      <c r="R179">
        <v>0.2</v>
      </c>
      <c r="S179">
        <v>6500</v>
      </c>
      <c r="T179">
        <v>2000</v>
      </c>
      <c r="U179">
        <v>2200</v>
      </c>
      <c r="V179">
        <v>487.5</v>
      </c>
      <c r="W179">
        <v>26000</v>
      </c>
      <c r="X179">
        <v>18200</v>
      </c>
      <c r="Y179">
        <v>7112.5</v>
      </c>
      <c r="Z179">
        <f t="shared" si="8"/>
        <v>2025</v>
      </c>
      <c r="AA179" t="str">
        <f t="shared" si="9"/>
        <v>August</v>
      </c>
      <c r="AB179">
        <f t="shared" si="10"/>
        <v>8</v>
      </c>
      <c r="AC179" t="str">
        <f t="shared" si="11"/>
        <v>Q3</v>
      </c>
    </row>
    <row r="180" spans="1:29" x14ac:dyDescent="0.35">
      <c r="A180" t="s">
        <v>233</v>
      </c>
      <c r="B180" s="3">
        <v>45810</v>
      </c>
      <c r="C180" s="3">
        <v>45816</v>
      </c>
      <c r="D180" t="s">
        <v>1</v>
      </c>
      <c r="E180" t="s">
        <v>34</v>
      </c>
      <c r="F180" t="s">
        <v>13</v>
      </c>
      <c r="G180" t="s">
        <v>53</v>
      </c>
      <c r="H180" t="str" cm="1">
        <f t="array" ref="H180">_xlfn.IFS(
OR(G180="Abuja",G180="Fct",G180="Abj"),"Abuja Municipal",
G180="Lagos","Ikeja",
G180="Oyo","Ibadan",
G180="Kano","Kano Municipal",
G180="Enugu","Enugu North",
G180="Rivers","Port Harcourt"
)</f>
        <v>Ikeja</v>
      </c>
      <c r="I180" t="s">
        <v>21</v>
      </c>
      <c r="J180" t="s">
        <v>22</v>
      </c>
      <c r="K180" t="s">
        <v>23</v>
      </c>
      <c r="L180" t="s">
        <v>8</v>
      </c>
      <c r="M180" t="s">
        <v>18</v>
      </c>
      <c r="N180" t="s">
        <v>9</v>
      </c>
      <c r="O180">
        <v>3</v>
      </c>
      <c r="P180">
        <v>25500</v>
      </c>
      <c r="Q180">
        <v>76500</v>
      </c>
      <c r="R180">
        <v>0.05</v>
      </c>
      <c r="S180">
        <v>3825</v>
      </c>
      <c r="T180">
        <v>3000</v>
      </c>
      <c r="U180">
        <v>3200</v>
      </c>
      <c r="V180">
        <v>1147.5</v>
      </c>
      <c r="W180">
        <v>72675</v>
      </c>
      <c r="X180">
        <v>43605</v>
      </c>
      <c r="Y180">
        <v>27722.5</v>
      </c>
      <c r="Z180">
        <f t="shared" si="8"/>
        <v>2025</v>
      </c>
      <c r="AA180" t="str">
        <f t="shared" si="9"/>
        <v>June</v>
      </c>
      <c r="AB180">
        <f t="shared" si="10"/>
        <v>6</v>
      </c>
      <c r="AC180" t="str">
        <f t="shared" si="11"/>
        <v>Q2</v>
      </c>
    </row>
    <row r="181" spans="1:29" x14ac:dyDescent="0.35">
      <c r="A181" t="s">
        <v>234</v>
      </c>
      <c r="B181" s="3">
        <v>45856</v>
      </c>
      <c r="C181" s="3">
        <v>45857</v>
      </c>
      <c r="D181" t="s">
        <v>26</v>
      </c>
      <c r="E181" t="s">
        <v>30</v>
      </c>
      <c r="F181" t="s">
        <v>44</v>
      </c>
      <c r="G181" t="s">
        <v>31</v>
      </c>
      <c r="H181" t="str" cm="1">
        <f t="array" ref="H181">_xlfn.IFS(
OR(G181="Abuja",G181="Fct",G181="Abj"),"Abuja Municipal",
G181="Lagos","Ikeja",
G181="Oyo","Ibadan",
G181="Kano","Kano Municipal",
G181="Enugu","Enugu North",
G181="Rivers","Port Harcourt"
)</f>
        <v>Kano Municipal</v>
      </c>
      <c r="I181" t="s">
        <v>86</v>
      </c>
      <c r="J181" t="s">
        <v>87</v>
      </c>
      <c r="K181" t="s">
        <v>23</v>
      </c>
      <c r="L181" t="s">
        <v>28</v>
      </c>
      <c r="M181" t="s">
        <v>24</v>
      </c>
      <c r="N181" t="s">
        <v>9</v>
      </c>
      <c r="O181">
        <v>5</v>
      </c>
      <c r="P181">
        <v>18500</v>
      </c>
      <c r="Q181">
        <v>92500</v>
      </c>
      <c r="R181">
        <v>0.05</v>
      </c>
      <c r="S181">
        <v>4625</v>
      </c>
      <c r="T181">
        <v>1500</v>
      </c>
      <c r="U181">
        <v>1500</v>
      </c>
      <c r="V181">
        <v>1387.5</v>
      </c>
      <c r="W181">
        <v>87875</v>
      </c>
      <c r="X181">
        <v>57118.75</v>
      </c>
      <c r="Y181">
        <v>29368.75</v>
      </c>
      <c r="Z181">
        <f t="shared" si="8"/>
        <v>2025</v>
      </c>
      <c r="AA181" t="str">
        <f t="shared" si="9"/>
        <v>July</v>
      </c>
      <c r="AB181">
        <f t="shared" si="10"/>
        <v>7</v>
      </c>
      <c r="AC181" t="str">
        <f t="shared" si="11"/>
        <v>Q3</v>
      </c>
    </row>
    <row r="182" spans="1:29" x14ac:dyDescent="0.35">
      <c r="A182" t="s">
        <v>235</v>
      </c>
      <c r="B182" s="3">
        <v>45709</v>
      </c>
      <c r="C182" s="3">
        <v>45710</v>
      </c>
      <c r="D182" t="s">
        <v>71</v>
      </c>
      <c r="E182" t="s">
        <v>30</v>
      </c>
      <c r="F182" t="s">
        <v>44</v>
      </c>
      <c r="G182" t="s">
        <v>27</v>
      </c>
      <c r="H182" t="str" cm="1">
        <f t="array" ref="H182">_xlfn.IFS(
OR(G182="Abuja",G182="Fct",G182="Abj"),"Abuja Municipal",
G182="Lagos","Ikeja",
G182="Oyo","Ibadan",
G182="Kano","Kano Municipal",
G182="Enugu","Enugu North",
G182="Rivers","Port Harcourt"
)</f>
        <v>Port Harcourt</v>
      </c>
      <c r="I182" t="s">
        <v>21</v>
      </c>
      <c r="J182" t="s">
        <v>22</v>
      </c>
      <c r="K182" t="s">
        <v>23</v>
      </c>
      <c r="L182" t="s">
        <v>28</v>
      </c>
      <c r="M182" t="s">
        <v>303</v>
      </c>
      <c r="N182" t="s">
        <v>46</v>
      </c>
      <c r="O182">
        <v>1</v>
      </c>
      <c r="P182">
        <v>25500</v>
      </c>
      <c r="Q182">
        <v>25500</v>
      </c>
      <c r="R182">
        <v>0.2</v>
      </c>
      <c r="S182">
        <v>5100</v>
      </c>
      <c r="T182">
        <v>2500</v>
      </c>
      <c r="U182">
        <v>1800</v>
      </c>
      <c r="V182">
        <v>382.5</v>
      </c>
      <c r="W182">
        <v>20400</v>
      </c>
      <c r="X182">
        <v>13260</v>
      </c>
      <c r="Y182">
        <v>7457.5</v>
      </c>
      <c r="Z182">
        <f t="shared" si="8"/>
        <v>2025</v>
      </c>
      <c r="AA182" t="str">
        <f t="shared" si="9"/>
        <v>February</v>
      </c>
      <c r="AB182">
        <f t="shared" si="10"/>
        <v>2</v>
      </c>
      <c r="AC182" t="str">
        <f t="shared" si="11"/>
        <v>Q1</v>
      </c>
    </row>
    <row r="183" spans="1:29" x14ac:dyDescent="0.35">
      <c r="A183" t="s">
        <v>236</v>
      </c>
      <c r="B183" s="3">
        <v>45917</v>
      </c>
      <c r="C183" s="3">
        <v>45922</v>
      </c>
      <c r="D183" t="s">
        <v>71</v>
      </c>
      <c r="E183" t="s">
        <v>48</v>
      </c>
      <c r="F183" t="s">
        <v>44</v>
      </c>
      <c r="G183" t="s">
        <v>14</v>
      </c>
      <c r="H183" t="str" cm="1">
        <f t="array" ref="H183">_xlfn.IFS(
OR(G183="Abuja",G183="Fct",G183="Abj"),"Abuja Municipal",
G183="Lagos","Ikeja",
G183="Oyo","Ibadan",
G183="Kano","Kano Municipal",
G183="Enugu","Enugu North",
G183="Rivers","Port Harcourt"
)</f>
        <v>Ibadan</v>
      </c>
      <c r="I183" t="s">
        <v>40</v>
      </c>
      <c r="J183" t="s">
        <v>41</v>
      </c>
      <c r="K183" t="s">
        <v>42</v>
      </c>
      <c r="L183" t="s">
        <v>8</v>
      </c>
      <c r="M183" t="s">
        <v>24</v>
      </c>
      <c r="N183" t="s">
        <v>9</v>
      </c>
      <c r="O183">
        <v>1</v>
      </c>
      <c r="P183">
        <v>32000</v>
      </c>
      <c r="Q183">
        <v>32000</v>
      </c>
      <c r="R183">
        <v>0</v>
      </c>
      <c r="S183">
        <v>0</v>
      </c>
      <c r="T183">
        <v>3000</v>
      </c>
      <c r="U183">
        <v>1800</v>
      </c>
      <c r="V183">
        <v>480</v>
      </c>
      <c r="W183">
        <v>32000</v>
      </c>
      <c r="X183">
        <v>17600</v>
      </c>
      <c r="Y183">
        <v>15120</v>
      </c>
      <c r="Z183">
        <f t="shared" si="8"/>
        <v>2025</v>
      </c>
      <c r="AA183" t="str">
        <f t="shared" si="9"/>
        <v>September</v>
      </c>
      <c r="AB183">
        <f t="shared" si="10"/>
        <v>9</v>
      </c>
      <c r="AC183" t="str">
        <f t="shared" si="11"/>
        <v>Q3</v>
      </c>
    </row>
    <row r="184" spans="1:29" x14ac:dyDescent="0.35">
      <c r="A184" t="s">
        <v>237</v>
      </c>
      <c r="B184" s="3">
        <v>45716</v>
      </c>
      <c r="C184" s="3">
        <v>45721</v>
      </c>
      <c r="D184" t="s">
        <v>38</v>
      </c>
      <c r="E184" t="s">
        <v>34</v>
      </c>
      <c r="F184" t="s">
        <v>44</v>
      </c>
      <c r="G184" t="s">
        <v>31</v>
      </c>
      <c r="H184" t="str" cm="1">
        <f t="array" ref="H184">_xlfn.IFS(
OR(G184="Abuja",G184="Fct",G184="Abj"),"Abuja Municipal",
G184="Lagos","Ikeja",
G184="Oyo","Ibadan",
G184="Kano","Kano Municipal",
G184="Enugu","Enugu North",
G184="Rivers","Port Harcourt"
)</f>
        <v>Kano Municipal</v>
      </c>
      <c r="I184" t="s">
        <v>15</v>
      </c>
      <c r="J184" t="s">
        <v>16</v>
      </c>
      <c r="K184" t="s">
        <v>17</v>
      </c>
      <c r="L184" t="s">
        <v>8</v>
      </c>
      <c r="M184" t="s">
        <v>24</v>
      </c>
      <c r="N184" t="s">
        <v>9</v>
      </c>
      <c r="O184">
        <v>3</v>
      </c>
      <c r="P184">
        <v>45000</v>
      </c>
      <c r="Q184">
        <v>135000</v>
      </c>
      <c r="R184">
        <v>0.2</v>
      </c>
      <c r="S184">
        <v>27000</v>
      </c>
      <c r="T184">
        <v>2500</v>
      </c>
      <c r="U184">
        <v>2800</v>
      </c>
      <c r="V184">
        <v>2025</v>
      </c>
      <c r="W184">
        <v>108000</v>
      </c>
      <c r="X184">
        <v>70200</v>
      </c>
      <c r="Y184">
        <v>35475</v>
      </c>
      <c r="Z184">
        <f t="shared" si="8"/>
        <v>2025</v>
      </c>
      <c r="AA184" t="str">
        <f t="shared" si="9"/>
        <v>February</v>
      </c>
      <c r="AB184">
        <f t="shared" si="10"/>
        <v>2</v>
      </c>
      <c r="AC184" t="str">
        <f t="shared" si="11"/>
        <v>Q1</v>
      </c>
    </row>
    <row r="185" spans="1:29" x14ac:dyDescent="0.35">
      <c r="A185" t="s">
        <v>238</v>
      </c>
      <c r="B185" s="3">
        <v>45729</v>
      </c>
      <c r="C185" s="3">
        <v>45736</v>
      </c>
      <c r="D185" t="s">
        <v>65</v>
      </c>
      <c r="E185" t="s">
        <v>2</v>
      </c>
      <c r="F185" t="s">
        <v>13</v>
      </c>
      <c r="G185" t="s">
        <v>14</v>
      </c>
      <c r="H185" t="str" cm="1">
        <f t="array" ref="H185">_xlfn.IFS(
OR(G185="Abuja",G185="Fct",G185="Abj"),"Abuja Municipal",
G185="Lagos","Ikeja",
G185="Oyo","Ibadan",
G185="Kano","Kano Municipal",
G185="Enugu","Enugu North",
G185="Rivers","Port Harcourt"
)</f>
        <v>Ibadan</v>
      </c>
      <c r="I185" t="s">
        <v>56</v>
      </c>
      <c r="J185" t="s">
        <v>57</v>
      </c>
      <c r="K185" t="s">
        <v>17</v>
      </c>
      <c r="L185" t="s">
        <v>8</v>
      </c>
      <c r="M185" t="s">
        <v>24</v>
      </c>
      <c r="N185" t="s">
        <v>9</v>
      </c>
      <c r="O185">
        <v>4</v>
      </c>
      <c r="P185">
        <v>25500</v>
      </c>
      <c r="Q185">
        <v>102000</v>
      </c>
      <c r="R185">
        <v>0.2</v>
      </c>
      <c r="S185">
        <v>20400</v>
      </c>
      <c r="T185">
        <v>2500</v>
      </c>
      <c r="U185">
        <v>1000</v>
      </c>
      <c r="V185">
        <v>1530</v>
      </c>
      <c r="W185">
        <v>81600</v>
      </c>
      <c r="X185">
        <v>48960</v>
      </c>
      <c r="Y185">
        <v>32610</v>
      </c>
      <c r="Z185">
        <f t="shared" si="8"/>
        <v>2025</v>
      </c>
      <c r="AA185" t="str">
        <f t="shared" si="9"/>
        <v>March</v>
      </c>
      <c r="AB185">
        <f t="shared" si="10"/>
        <v>3</v>
      </c>
      <c r="AC185" t="str">
        <f t="shared" si="11"/>
        <v>Q1</v>
      </c>
    </row>
    <row r="186" spans="1:29" x14ac:dyDescent="0.35">
      <c r="A186" t="s">
        <v>239</v>
      </c>
      <c r="B186" s="3">
        <v>45805</v>
      </c>
      <c r="C186" s="3">
        <v>45808</v>
      </c>
      <c r="D186" t="s">
        <v>26</v>
      </c>
      <c r="E186" t="s">
        <v>12</v>
      </c>
      <c r="F186" t="s">
        <v>44</v>
      </c>
      <c r="G186" t="s">
        <v>53</v>
      </c>
      <c r="H186" t="str" cm="1">
        <f t="array" ref="H186">_xlfn.IFS(
OR(G186="Abuja",G186="Fct",G186="Abj"),"Abuja Municipal",
G186="Lagos","Ikeja",
G186="Oyo","Ibadan",
G186="Kano","Kano Municipal",
G186="Enugu","Enugu North",
G186="Rivers","Port Harcourt"
)</f>
        <v>Ikeja</v>
      </c>
      <c r="I186" t="s">
        <v>49</v>
      </c>
      <c r="J186" t="s">
        <v>50</v>
      </c>
      <c r="K186" t="s">
        <v>42</v>
      </c>
      <c r="L186" t="s">
        <v>28</v>
      </c>
      <c r="M186" t="s">
        <v>303</v>
      </c>
      <c r="N186" t="s">
        <v>9</v>
      </c>
      <c r="O186">
        <v>2</v>
      </c>
      <c r="P186">
        <v>18500</v>
      </c>
      <c r="Q186">
        <v>37000</v>
      </c>
      <c r="R186">
        <v>0.05</v>
      </c>
      <c r="S186">
        <v>1850</v>
      </c>
      <c r="T186">
        <v>1500</v>
      </c>
      <c r="U186">
        <v>1800</v>
      </c>
      <c r="V186">
        <v>555</v>
      </c>
      <c r="W186">
        <v>35150</v>
      </c>
      <c r="X186">
        <v>24605</v>
      </c>
      <c r="Y186">
        <v>9690</v>
      </c>
      <c r="Z186">
        <f t="shared" si="8"/>
        <v>2025</v>
      </c>
      <c r="AA186" t="str">
        <f t="shared" si="9"/>
        <v>May</v>
      </c>
      <c r="AB186">
        <f t="shared" si="10"/>
        <v>5</v>
      </c>
      <c r="AC186" t="str">
        <f t="shared" si="11"/>
        <v>Q2</v>
      </c>
    </row>
    <row r="187" spans="1:29" x14ac:dyDescent="0.35">
      <c r="A187" t="s">
        <v>240</v>
      </c>
      <c r="B187" s="3">
        <v>46006</v>
      </c>
      <c r="C187" s="3">
        <v>46012</v>
      </c>
      <c r="D187" t="s">
        <v>33</v>
      </c>
      <c r="E187" t="s">
        <v>39</v>
      </c>
      <c r="F187" t="s">
        <v>3</v>
      </c>
      <c r="G187" t="s">
        <v>35</v>
      </c>
      <c r="H187" t="str" cm="1">
        <f t="array" ref="H187">_xlfn.IFS(
OR(G187="Abuja",G187="Fct",G187="Abj"),"Abuja Municipal",
G187="Lagos","Ikeja",
G187="Oyo","Ibadan",
G187="Kano","Kano Municipal",
G187="Enugu","Enugu North",
G187="Rivers","Port Harcourt"
)</f>
        <v>Abuja Municipal</v>
      </c>
      <c r="I187" t="s">
        <v>5</v>
      </c>
      <c r="J187" t="s">
        <v>6</v>
      </c>
      <c r="K187" t="s">
        <v>7</v>
      </c>
      <c r="L187" t="s">
        <v>8</v>
      </c>
      <c r="M187" t="s">
        <v>18</v>
      </c>
      <c r="N187" t="s">
        <v>9</v>
      </c>
      <c r="O187">
        <v>4</v>
      </c>
      <c r="P187">
        <v>6500</v>
      </c>
      <c r="Q187">
        <v>26000</v>
      </c>
      <c r="R187">
        <v>0.05</v>
      </c>
      <c r="S187">
        <v>1300</v>
      </c>
      <c r="T187">
        <v>3000</v>
      </c>
      <c r="U187">
        <v>1000</v>
      </c>
      <c r="V187">
        <v>390</v>
      </c>
      <c r="W187">
        <v>24700</v>
      </c>
      <c r="X187">
        <v>13585</v>
      </c>
      <c r="Y187">
        <v>12725</v>
      </c>
      <c r="Z187">
        <f t="shared" si="8"/>
        <v>2025</v>
      </c>
      <c r="AA187" t="str">
        <f t="shared" si="9"/>
        <v>December</v>
      </c>
      <c r="AB187">
        <f t="shared" si="10"/>
        <v>12</v>
      </c>
      <c r="AC187" t="str">
        <f t="shared" si="11"/>
        <v>Q4</v>
      </c>
    </row>
    <row r="188" spans="1:29" x14ac:dyDescent="0.35">
      <c r="A188" t="s">
        <v>241</v>
      </c>
      <c r="B188" s="3">
        <v>45720</v>
      </c>
      <c r="C188" s="3">
        <v>45722</v>
      </c>
      <c r="D188" t="s">
        <v>62</v>
      </c>
      <c r="E188" t="s">
        <v>39</v>
      </c>
      <c r="F188" t="s">
        <v>44</v>
      </c>
      <c r="G188" t="s">
        <v>53</v>
      </c>
      <c r="H188" t="str" cm="1">
        <f t="array" ref="H188">_xlfn.IFS(
OR(G188="Abuja",G188="Fct",G188="Abj"),"Abuja Municipal",
G188="Lagos","Ikeja",
G188="Oyo","Ibadan",
G188="Kano","Kano Municipal",
G188="Enugu","Enugu North",
G188="Rivers","Port Harcourt"
)</f>
        <v>Ikeja</v>
      </c>
      <c r="I188" t="s">
        <v>56</v>
      </c>
      <c r="J188" t="s">
        <v>57</v>
      </c>
      <c r="K188" t="s">
        <v>17</v>
      </c>
      <c r="L188" t="s">
        <v>8</v>
      </c>
      <c r="M188" t="s">
        <v>303</v>
      </c>
      <c r="N188" t="s">
        <v>46</v>
      </c>
      <c r="O188">
        <v>5</v>
      </c>
      <c r="P188">
        <v>25500</v>
      </c>
      <c r="Q188">
        <v>127500</v>
      </c>
      <c r="R188">
        <v>0.2</v>
      </c>
      <c r="S188">
        <v>25500</v>
      </c>
      <c r="T188">
        <v>3500</v>
      </c>
      <c r="U188">
        <v>2200</v>
      </c>
      <c r="V188">
        <v>1912.5</v>
      </c>
      <c r="W188">
        <v>102000</v>
      </c>
      <c r="X188">
        <v>61200</v>
      </c>
      <c r="Y188">
        <v>40187.5</v>
      </c>
      <c r="Z188">
        <f t="shared" si="8"/>
        <v>2025</v>
      </c>
      <c r="AA188" t="str">
        <f t="shared" si="9"/>
        <v>March</v>
      </c>
      <c r="AB188">
        <f t="shared" si="10"/>
        <v>3</v>
      </c>
      <c r="AC188" t="str">
        <f t="shared" si="11"/>
        <v>Q1</v>
      </c>
    </row>
    <row r="189" spans="1:29" x14ac:dyDescent="0.35">
      <c r="A189" t="s">
        <v>242</v>
      </c>
      <c r="B189" s="3">
        <v>45967</v>
      </c>
      <c r="C189" s="3">
        <v>45971</v>
      </c>
      <c r="D189" t="s">
        <v>1</v>
      </c>
      <c r="E189" t="s">
        <v>2</v>
      </c>
      <c r="F189" t="s">
        <v>3</v>
      </c>
      <c r="G189" t="s">
        <v>53</v>
      </c>
      <c r="H189" t="str" cm="1">
        <f t="array" ref="H189">_xlfn.IFS(
OR(G189="Abuja",G189="Fct",G189="Abj"),"Abuja Municipal",
G189="Lagos","Ikeja",
G189="Oyo","Ibadan",
G189="Kano","Kano Municipal",
G189="Enugu","Enugu North",
G189="Rivers","Port Harcourt"
)</f>
        <v>Ikeja</v>
      </c>
      <c r="I189" t="s">
        <v>15</v>
      </c>
      <c r="J189" t="s">
        <v>16</v>
      </c>
      <c r="K189" t="s">
        <v>17</v>
      </c>
      <c r="L189" t="s">
        <v>32</v>
      </c>
      <c r="M189" t="s">
        <v>18</v>
      </c>
      <c r="N189" t="s">
        <v>36</v>
      </c>
      <c r="O189">
        <v>2</v>
      </c>
      <c r="P189">
        <v>78000</v>
      </c>
      <c r="Q189">
        <v>156000</v>
      </c>
      <c r="R189">
        <v>0.2</v>
      </c>
      <c r="S189">
        <v>31200</v>
      </c>
      <c r="T189">
        <v>1500</v>
      </c>
      <c r="U189">
        <v>1000</v>
      </c>
      <c r="V189">
        <v>2340</v>
      </c>
      <c r="W189">
        <v>124800</v>
      </c>
      <c r="X189">
        <v>87360</v>
      </c>
      <c r="Y189">
        <v>35600</v>
      </c>
      <c r="Z189">
        <f t="shared" si="8"/>
        <v>2025</v>
      </c>
      <c r="AA189" t="str">
        <f t="shared" si="9"/>
        <v>November</v>
      </c>
      <c r="AB189">
        <f t="shared" si="10"/>
        <v>11</v>
      </c>
      <c r="AC189" t="str">
        <f t="shared" si="11"/>
        <v>Q4</v>
      </c>
    </row>
    <row r="190" spans="1:29" x14ac:dyDescent="0.35">
      <c r="A190" t="s">
        <v>243</v>
      </c>
      <c r="B190" s="3">
        <v>45900</v>
      </c>
      <c r="C190" s="3">
        <v>45907</v>
      </c>
      <c r="D190" t="s">
        <v>11</v>
      </c>
      <c r="E190" t="s">
        <v>30</v>
      </c>
      <c r="F190" t="s">
        <v>13</v>
      </c>
      <c r="G190" t="s">
        <v>14</v>
      </c>
      <c r="H190" t="str" cm="1">
        <f t="array" ref="H190">_xlfn.IFS(
OR(G190="Abuja",G190="Fct",G190="Abj"),"Abuja Municipal",
G190="Lagos","Ikeja",
G190="Oyo","Ibadan",
G190="Kano","Kano Municipal",
G190="Enugu","Enugu North",
G190="Rivers","Port Harcourt"
)</f>
        <v>Ibadan</v>
      </c>
      <c r="I190" t="s">
        <v>15</v>
      </c>
      <c r="J190" t="s">
        <v>16</v>
      </c>
      <c r="K190" t="s">
        <v>17</v>
      </c>
      <c r="L190" t="s">
        <v>28</v>
      </c>
      <c r="M190" t="s">
        <v>303</v>
      </c>
      <c r="N190" t="s">
        <v>36</v>
      </c>
      <c r="O190">
        <v>3</v>
      </c>
      <c r="P190">
        <v>6500</v>
      </c>
      <c r="Q190">
        <v>19500</v>
      </c>
      <c r="R190">
        <v>0.2</v>
      </c>
      <c r="S190">
        <v>3900</v>
      </c>
      <c r="T190">
        <v>1500</v>
      </c>
      <c r="U190">
        <v>2200</v>
      </c>
      <c r="V190">
        <v>292.5</v>
      </c>
      <c r="W190">
        <v>15600</v>
      </c>
      <c r="X190">
        <v>8580</v>
      </c>
      <c r="Y190">
        <v>6027.5</v>
      </c>
      <c r="Z190">
        <f t="shared" si="8"/>
        <v>2025</v>
      </c>
      <c r="AA190" t="str">
        <f t="shared" si="9"/>
        <v>August</v>
      </c>
      <c r="AB190">
        <f t="shared" si="10"/>
        <v>8</v>
      </c>
      <c r="AC190" t="str">
        <f t="shared" si="11"/>
        <v>Q3</v>
      </c>
    </row>
    <row r="191" spans="1:29" x14ac:dyDescent="0.35">
      <c r="A191" t="s">
        <v>244</v>
      </c>
      <c r="B191" s="3">
        <v>45987</v>
      </c>
      <c r="C191" s="3">
        <v>45990</v>
      </c>
      <c r="D191" t="s">
        <v>1</v>
      </c>
      <c r="E191" t="s">
        <v>52</v>
      </c>
      <c r="F191" t="s">
        <v>13</v>
      </c>
      <c r="G191" t="s">
        <v>14</v>
      </c>
      <c r="H191" t="str" cm="1">
        <f t="array" ref="H191">_xlfn.IFS(
OR(G191="Abuja",G191="Fct",G191="Abj"),"Abuja Municipal",
G191="Lagos","Ikeja",
G191="Oyo","Ibadan",
G191="Kano","Kano Municipal",
G191="Enugu","Enugu North",
G191="Rivers","Port Harcourt"
)</f>
        <v>Ibadan</v>
      </c>
      <c r="I191" t="s">
        <v>15</v>
      </c>
      <c r="J191" t="s">
        <v>16</v>
      </c>
      <c r="K191" t="s">
        <v>17</v>
      </c>
      <c r="L191" t="s">
        <v>32</v>
      </c>
      <c r="M191" t="s">
        <v>303</v>
      </c>
      <c r="N191" t="s">
        <v>9</v>
      </c>
      <c r="O191">
        <v>3</v>
      </c>
      <c r="P191">
        <v>18500</v>
      </c>
      <c r="Q191">
        <v>55500</v>
      </c>
      <c r="R191">
        <v>0.05</v>
      </c>
      <c r="S191">
        <v>2775</v>
      </c>
      <c r="T191">
        <v>3000</v>
      </c>
      <c r="U191">
        <v>1500</v>
      </c>
      <c r="V191">
        <v>832.5</v>
      </c>
      <c r="W191">
        <v>52725</v>
      </c>
      <c r="X191">
        <v>34271.25</v>
      </c>
      <c r="Y191">
        <v>19121.25</v>
      </c>
      <c r="Z191">
        <f t="shared" si="8"/>
        <v>2025</v>
      </c>
      <c r="AA191" t="str">
        <f t="shared" si="9"/>
        <v>November</v>
      </c>
      <c r="AB191">
        <f t="shared" si="10"/>
        <v>11</v>
      </c>
      <c r="AC191" t="str">
        <f t="shared" si="11"/>
        <v>Q4</v>
      </c>
    </row>
    <row r="192" spans="1:29" x14ac:dyDescent="0.35">
      <c r="A192" t="s">
        <v>245</v>
      </c>
      <c r="B192" s="3">
        <v>45764</v>
      </c>
      <c r="C192" s="3">
        <v>45769</v>
      </c>
      <c r="D192" t="s">
        <v>20</v>
      </c>
      <c r="E192" t="s">
        <v>48</v>
      </c>
      <c r="F192" t="s">
        <v>13</v>
      </c>
      <c r="G192" t="s">
        <v>35</v>
      </c>
      <c r="H192" t="str" cm="1">
        <f t="array" ref="H192">_xlfn.IFS(
OR(G192="Abuja",G192="Fct",G192="Abj"),"Abuja Municipal",
G192="Lagos","Ikeja",
G192="Oyo","Ibadan",
G192="Kano","Kano Municipal",
G192="Enugu","Enugu North",
G192="Rivers","Port Harcourt"
)</f>
        <v>Abuja Municipal</v>
      </c>
      <c r="I192" t="s">
        <v>56</v>
      </c>
      <c r="J192" t="s">
        <v>57</v>
      </c>
      <c r="K192" t="s">
        <v>17</v>
      </c>
      <c r="L192" t="s">
        <v>32</v>
      </c>
      <c r="M192" t="s">
        <v>303</v>
      </c>
      <c r="N192" t="s">
        <v>9</v>
      </c>
      <c r="O192">
        <v>2</v>
      </c>
      <c r="P192">
        <v>32000</v>
      </c>
      <c r="Q192">
        <v>64000</v>
      </c>
      <c r="R192">
        <v>0.2</v>
      </c>
      <c r="S192">
        <v>12800</v>
      </c>
      <c r="T192">
        <v>3000</v>
      </c>
      <c r="U192">
        <v>1500</v>
      </c>
      <c r="V192">
        <v>960</v>
      </c>
      <c r="W192">
        <v>51200</v>
      </c>
      <c r="X192">
        <v>30720</v>
      </c>
      <c r="Y192">
        <v>21020</v>
      </c>
      <c r="Z192">
        <f t="shared" si="8"/>
        <v>2025</v>
      </c>
      <c r="AA192" t="str">
        <f t="shared" si="9"/>
        <v>April</v>
      </c>
      <c r="AB192">
        <f t="shared" si="10"/>
        <v>4</v>
      </c>
      <c r="AC192" t="str">
        <f t="shared" si="11"/>
        <v>Q2</v>
      </c>
    </row>
    <row r="193" spans="1:29" x14ac:dyDescent="0.35">
      <c r="A193" t="s">
        <v>246</v>
      </c>
      <c r="B193" s="3">
        <v>45883</v>
      </c>
      <c r="C193" s="3">
        <v>45887</v>
      </c>
      <c r="D193" t="s">
        <v>71</v>
      </c>
      <c r="E193" t="s">
        <v>30</v>
      </c>
      <c r="F193" t="s">
        <v>13</v>
      </c>
      <c r="G193" t="s">
        <v>35</v>
      </c>
      <c r="H193" t="str" cm="1">
        <f t="array" ref="H193">_xlfn.IFS(
OR(G193="Abuja",G193="Fct",G193="Abj"),"Abuja Municipal",
G193="Lagos","Ikeja",
G193="Oyo","Ibadan",
G193="Kano","Kano Municipal",
G193="Enugu","Enugu North",
G193="Rivers","Port Harcourt"
)</f>
        <v>Abuja Municipal</v>
      </c>
      <c r="I193" t="s">
        <v>86</v>
      </c>
      <c r="J193" t="s">
        <v>87</v>
      </c>
      <c r="K193" t="s">
        <v>23</v>
      </c>
      <c r="L193" t="s">
        <v>8</v>
      </c>
      <c r="M193" t="s">
        <v>303</v>
      </c>
      <c r="N193" t="s">
        <v>9</v>
      </c>
      <c r="O193">
        <v>1</v>
      </c>
      <c r="P193">
        <v>45000</v>
      </c>
      <c r="Q193">
        <v>45000</v>
      </c>
      <c r="R193">
        <v>0.2</v>
      </c>
      <c r="S193">
        <v>9000</v>
      </c>
      <c r="T193">
        <v>2500</v>
      </c>
      <c r="U193">
        <v>3200</v>
      </c>
      <c r="V193">
        <v>675</v>
      </c>
      <c r="W193">
        <v>36000</v>
      </c>
      <c r="X193">
        <v>25200</v>
      </c>
      <c r="Y193">
        <v>9425</v>
      </c>
      <c r="Z193">
        <f t="shared" si="8"/>
        <v>2025</v>
      </c>
      <c r="AA193" t="str">
        <f t="shared" si="9"/>
        <v>August</v>
      </c>
      <c r="AB193">
        <f t="shared" si="10"/>
        <v>8</v>
      </c>
      <c r="AC193" t="str">
        <f t="shared" si="11"/>
        <v>Q3</v>
      </c>
    </row>
    <row r="194" spans="1:29" x14ac:dyDescent="0.35">
      <c r="A194" t="s">
        <v>247</v>
      </c>
      <c r="B194" s="3">
        <v>45970</v>
      </c>
      <c r="C194" s="3">
        <v>45975</v>
      </c>
      <c r="D194" t="s">
        <v>62</v>
      </c>
      <c r="E194" t="s">
        <v>39</v>
      </c>
      <c r="F194" t="s">
        <v>13</v>
      </c>
      <c r="G194" t="s">
        <v>53</v>
      </c>
      <c r="H194" t="str" cm="1">
        <f t="array" ref="H194">_xlfn.IFS(
OR(G194="Abuja",G194="Fct",G194="Abj"),"Abuja Municipal",
G194="Lagos","Ikeja",
G194="Oyo","Ibadan",
G194="Kano","Kano Municipal",
G194="Enugu","Enugu North",
G194="Rivers","Port Harcourt"
)</f>
        <v>Ikeja</v>
      </c>
      <c r="I194" t="s">
        <v>15</v>
      </c>
      <c r="J194" t="s">
        <v>16</v>
      </c>
      <c r="K194" t="s">
        <v>17</v>
      </c>
      <c r="L194" t="s">
        <v>28</v>
      </c>
      <c r="M194" t="s">
        <v>18</v>
      </c>
      <c r="N194" t="s">
        <v>9</v>
      </c>
      <c r="O194">
        <v>2</v>
      </c>
      <c r="P194">
        <v>25500</v>
      </c>
      <c r="Q194">
        <v>51000</v>
      </c>
      <c r="R194">
        <v>0.15</v>
      </c>
      <c r="S194">
        <v>7650</v>
      </c>
      <c r="T194">
        <v>3000</v>
      </c>
      <c r="U194">
        <v>3200</v>
      </c>
      <c r="V194">
        <v>765</v>
      </c>
      <c r="W194">
        <v>43350</v>
      </c>
      <c r="X194">
        <v>23842.5</v>
      </c>
      <c r="Y194">
        <v>18542.5</v>
      </c>
      <c r="Z194">
        <f t="shared" si="8"/>
        <v>2025</v>
      </c>
      <c r="AA194" t="str">
        <f t="shared" si="9"/>
        <v>November</v>
      </c>
      <c r="AB194">
        <f t="shared" si="10"/>
        <v>11</v>
      </c>
      <c r="AC194" t="str">
        <f t="shared" si="11"/>
        <v>Q4</v>
      </c>
    </row>
    <row r="195" spans="1:29" x14ac:dyDescent="0.35">
      <c r="A195" t="s">
        <v>248</v>
      </c>
      <c r="B195" s="3">
        <v>45875</v>
      </c>
      <c r="C195" s="3">
        <v>45879</v>
      </c>
      <c r="D195" t="s">
        <v>20</v>
      </c>
      <c r="E195" t="s">
        <v>55</v>
      </c>
      <c r="F195" t="s">
        <v>3</v>
      </c>
      <c r="G195" t="s">
        <v>4</v>
      </c>
      <c r="H195" t="str" cm="1">
        <f t="array" ref="H195">_xlfn.IFS(
OR(G195="Abuja",G195="Fct",G195="Abj"),"Abuja Municipal",
G195="Lagos","Ikeja",
G195="Oyo","Ibadan",
G195="Kano","Kano Municipal",
G195="Enugu","Enugu North",
G195="Rivers","Port Harcourt"
)</f>
        <v>Enugu North</v>
      </c>
      <c r="I195" t="s">
        <v>21</v>
      </c>
      <c r="J195" t="s">
        <v>22</v>
      </c>
      <c r="K195" t="s">
        <v>23</v>
      </c>
      <c r="L195" t="s">
        <v>8</v>
      </c>
      <c r="M195" t="s">
        <v>18</v>
      </c>
      <c r="N195" t="s">
        <v>9</v>
      </c>
      <c r="O195">
        <v>5</v>
      </c>
      <c r="P195">
        <v>18500</v>
      </c>
      <c r="Q195">
        <v>92500</v>
      </c>
      <c r="R195">
        <v>0</v>
      </c>
      <c r="S195">
        <v>0</v>
      </c>
      <c r="T195">
        <v>2500</v>
      </c>
      <c r="U195">
        <v>2800</v>
      </c>
      <c r="V195">
        <v>1387.5</v>
      </c>
      <c r="W195">
        <v>92500</v>
      </c>
      <c r="X195">
        <v>50875</v>
      </c>
      <c r="Y195">
        <v>39937.5</v>
      </c>
      <c r="Z195">
        <f t="shared" ref="Z195:Z249" si="12">YEAR(B195)</f>
        <v>2025</v>
      </c>
      <c r="AA195" t="str">
        <f t="shared" ref="AA195:AA249" si="13">TEXT(B195,"mmmm")</f>
        <v>August</v>
      </c>
      <c r="AB195">
        <f t="shared" ref="AB195:AB249" si="14">MONTH(B195)</f>
        <v>8</v>
      </c>
      <c r="AC195" t="str">
        <f t="shared" ref="AC195:AC249" si="15">"Q"&amp;ROUNDUP(MONTH(B195)/3,0)</f>
        <v>Q3</v>
      </c>
    </row>
    <row r="196" spans="1:29" x14ac:dyDescent="0.35">
      <c r="A196" t="s">
        <v>249</v>
      </c>
      <c r="B196" s="3">
        <v>45898</v>
      </c>
      <c r="C196" s="3">
        <v>45900</v>
      </c>
      <c r="D196" t="s">
        <v>26</v>
      </c>
      <c r="E196" t="s">
        <v>52</v>
      </c>
      <c r="F196" t="s">
        <v>3</v>
      </c>
      <c r="G196" t="s">
        <v>53</v>
      </c>
      <c r="H196" t="str" cm="1">
        <f t="array" ref="H196">_xlfn.IFS(
OR(G196="Abuja",G196="Fct",G196="Abj"),"Abuja Municipal",
G196="Lagos","Ikeja",
G196="Oyo","Ibadan",
G196="Kano","Kano Municipal",
G196="Enugu","Enugu North",
G196="Rivers","Port Harcourt"
)</f>
        <v>Ikeja</v>
      </c>
      <c r="I196" t="s">
        <v>56</v>
      </c>
      <c r="J196" t="s">
        <v>57</v>
      </c>
      <c r="K196" t="s">
        <v>17</v>
      </c>
      <c r="L196" t="s">
        <v>28</v>
      </c>
      <c r="M196" t="s">
        <v>18</v>
      </c>
      <c r="N196" t="s">
        <v>9</v>
      </c>
      <c r="O196">
        <v>1</v>
      </c>
      <c r="P196">
        <v>6500</v>
      </c>
      <c r="Q196">
        <v>6500</v>
      </c>
      <c r="R196">
        <v>0.1</v>
      </c>
      <c r="S196">
        <v>650</v>
      </c>
      <c r="T196">
        <v>1500</v>
      </c>
      <c r="U196">
        <v>1800</v>
      </c>
      <c r="V196">
        <v>97.5</v>
      </c>
      <c r="W196">
        <v>5850</v>
      </c>
      <c r="X196">
        <v>3802.5</v>
      </c>
      <c r="Y196">
        <v>1650</v>
      </c>
      <c r="Z196">
        <f t="shared" si="12"/>
        <v>2025</v>
      </c>
      <c r="AA196" t="str">
        <f t="shared" si="13"/>
        <v>August</v>
      </c>
      <c r="AB196">
        <f t="shared" si="14"/>
        <v>8</v>
      </c>
      <c r="AC196" t="str">
        <f t="shared" si="15"/>
        <v>Q3</v>
      </c>
    </row>
    <row r="197" spans="1:29" x14ac:dyDescent="0.35">
      <c r="A197" t="s">
        <v>250</v>
      </c>
      <c r="B197" s="3">
        <v>45916</v>
      </c>
      <c r="C197" s="3">
        <v>45919</v>
      </c>
      <c r="D197" t="s">
        <v>11</v>
      </c>
      <c r="E197" t="s">
        <v>39</v>
      </c>
      <c r="F197" t="s">
        <v>13</v>
      </c>
      <c r="G197" t="s">
        <v>35</v>
      </c>
      <c r="H197" t="str" cm="1">
        <f t="array" ref="H197">_xlfn.IFS(
OR(G197="Abuja",G197="Fct",G197="Abj"),"Abuja Municipal",
G197="Lagos","Ikeja",
G197="Oyo","Ibadan",
G197="Kano","Kano Municipal",
G197="Enugu","Enugu North",
G197="Rivers","Port Harcourt"
)</f>
        <v>Abuja Municipal</v>
      </c>
      <c r="I197" t="s">
        <v>5</v>
      </c>
      <c r="J197" t="s">
        <v>6</v>
      </c>
      <c r="K197" t="s">
        <v>7</v>
      </c>
      <c r="L197" t="s">
        <v>32</v>
      </c>
      <c r="M197" t="s">
        <v>18</v>
      </c>
      <c r="N197" t="s">
        <v>9</v>
      </c>
      <c r="O197">
        <v>3</v>
      </c>
      <c r="P197">
        <v>78000</v>
      </c>
      <c r="Q197">
        <v>234000</v>
      </c>
      <c r="R197">
        <v>0</v>
      </c>
      <c r="S197">
        <v>0</v>
      </c>
      <c r="T197">
        <v>2000</v>
      </c>
      <c r="U197">
        <v>2800</v>
      </c>
      <c r="V197">
        <v>3510</v>
      </c>
      <c r="W197">
        <v>234000</v>
      </c>
      <c r="X197">
        <v>163800</v>
      </c>
      <c r="Y197">
        <v>65890</v>
      </c>
      <c r="Z197">
        <f t="shared" si="12"/>
        <v>2025</v>
      </c>
      <c r="AA197" t="str">
        <f t="shared" si="13"/>
        <v>September</v>
      </c>
      <c r="AB197">
        <f t="shared" si="14"/>
        <v>9</v>
      </c>
      <c r="AC197" t="str">
        <f t="shared" si="15"/>
        <v>Q3</v>
      </c>
    </row>
    <row r="198" spans="1:29" x14ac:dyDescent="0.35">
      <c r="A198" t="s">
        <v>251</v>
      </c>
      <c r="B198" s="3">
        <v>45919</v>
      </c>
      <c r="C198" s="3">
        <v>45923</v>
      </c>
      <c r="D198" t="s">
        <v>65</v>
      </c>
      <c r="E198" t="s">
        <v>55</v>
      </c>
      <c r="F198" t="s">
        <v>44</v>
      </c>
      <c r="G198" t="s">
        <v>14</v>
      </c>
      <c r="H198" t="str" cm="1">
        <f t="array" ref="H198">_xlfn.IFS(
OR(G198="Abuja",G198="Fct",G198="Abj"),"Abuja Municipal",
G198="Lagos","Ikeja",
G198="Oyo","Ibadan",
G198="Kano","Kano Municipal",
G198="Enugu","Enugu North",
G198="Rivers","Port Harcourt"
)</f>
        <v>Ibadan</v>
      </c>
      <c r="I198" t="s">
        <v>15</v>
      </c>
      <c r="J198" t="s">
        <v>16</v>
      </c>
      <c r="K198" t="s">
        <v>17</v>
      </c>
      <c r="L198" t="s">
        <v>28</v>
      </c>
      <c r="M198" t="s">
        <v>303</v>
      </c>
      <c r="N198" t="s">
        <v>9</v>
      </c>
      <c r="O198">
        <v>2</v>
      </c>
      <c r="P198">
        <v>18500</v>
      </c>
      <c r="Q198">
        <v>37000</v>
      </c>
      <c r="R198">
        <v>0.15</v>
      </c>
      <c r="S198">
        <v>5550</v>
      </c>
      <c r="T198">
        <v>3500</v>
      </c>
      <c r="U198">
        <v>2200</v>
      </c>
      <c r="V198">
        <v>555</v>
      </c>
      <c r="W198">
        <v>31450</v>
      </c>
      <c r="X198">
        <v>20442.5</v>
      </c>
      <c r="Y198">
        <v>11752.5</v>
      </c>
      <c r="Z198">
        <f t="shared" si="12"/>
        <v>2025</v>
      </c>
      <c r="AA198" t="str">
        <f t="shared" si="13"/>
        <v>September</v>
      </c>
      <c r="AB198">
        <f t="shared" si="14"/>
        <v>9</v>
      </c>
      <c r="AC198" t="str">
        <f t="shared" si="15"/>
        <v>Q3</v>
      </c>
    </row>
    <row r="199" spans="1:29" x14ac:dyDescent="0.35">
      <c r="A199" t="s">
        <v>252</v>
      </c>
      <c r="B199" s="3">
        <v>45662</v>
      </c>
      <c r="C199" s="3">
        <v>45668</v>
      </c>
      <c r="D199" t="s">
        <v>62</v>
      </c>
      <c r="E199" t="s">
        <v>30</v>
      </c>
      <c r="F199" t="s">
        <v>44</v>
      </c>
      <c r="G199" t="s">
        <v>27</v>
      </c>
      <c r="H199" t="str" cm="1">
        <f t="array" ref="H199">_xlfn.IFS(
OR(G199="Abuja",G199="Fct",G199="Abj"),"Abuja Municipal",
G199="Lagos","Ikeja",
G199="Oyo","Ibadan",
G199="Kano","Kano Municipal",
G199="Enugu","Enugu North",
G199="Rivers","Port Harcourt"
)</f>
        <v>Port Harcourt</v>
      </c>
      <c r="I199" t="s">
        <v>21</v>
      </c>
      <c r="J199" t="s">
        <v>22</v>
      </c>
      <c r="K199" t="s">
        <v>23</v>
      </c>
      <c r="L199" t="s">
        <v>8</v>
      </c>
      <c r="M199" t="s">
        <v>24</v>
      </c>
      <c r="N199" t="s">
        <v>9</v>
      </c>
      <c r="O199">
        <v>4</v>
      </c>
      <c r="P199">
        <v>120000</v>
      </c>
      <c r="Q199">
        <v>480000</v>
      </c>
      <c r="R199">
        <v>0.1</v>
      </c>
      <c r="S199">
        <v>48000</v>
      </c>
      <c r="T199">
        <v>1500</v>
      </c>
      <c r="U199">
        <v>2800</v>
      </c>
      <c r="V199">
        <v>7200</v>
      </c>
      <c r="W199">
        <v>432000</v>
      </c>
      <c r="X199">
        <v>280800</v>
      </c>
      <c r="Y199">
        <v>142700</v>
      </c>
      <c r="Z199">
        <f t="shared" si="12"/>
        <v>2025</v>
      </c>
      <c r="AA199" t="str">
        <f t="shared" si="13"/>
        <v>January</v>
      </c>
      <c r="AB199">
        <f t="shared" si="14"/>
        <v>1</v>
      </c>
      <c r="AC199" t="str">
        <f t="shared" si="15"/>
        <v>Q1</v>
      </c>
    </row>
    <row r="200" spans="1:29" x14ac:dyDescent="0.35">
      <c r="A200" t="s">
        <v>253</v>
      </c>
      <c r="B200" s="3">
        <v>45918</v>
      </c>
      <c r="C200" s="3">
        <v>45925</v>
      </c>
      <c r="D200" t="s">
        <v>62</v>
      </c>
      <c r="E200" t="s">
        <v>2</v>
      </c>
      <c r="F200" t="s">
        <v>13</v>
      </c>
      <c r="G200" t="s">
        <v>53</v>
      </c>
      <c r="H200" t="str" cm="1">
        <f t="array" ref="H200">_xlfn.IFS(
OR(G200="Abuja",G200="Fct",G200="Abj"),"Abuja Municipal",
G200="Lagos","Ikeja",
G200="Oyo","Ibadan",
G200="Kano","Kano Municipal",
G200="Enugu","Enugu North",
G200="Rivers","Port Harcourt"
)</f>
        <v>Ikeja</v>
      </c>
      <c r="I200" t="s">
        <v>86</v>
      </c>
      <c r="J200" t="s">
        <v>87</v>
      </c>
      <c r="K200" t="s">
        <v>23</v>
      </c>
      <c r="L200" t="s">
        <v>8</v>
      </c>
      <c r="M200" t="s">
        <v>24</v>
      </c>
      <c r="N200" t="s">
        <v>9</v>
      </c>
      <c r="O200">
        <v>4</v>
      </c>
      <c r="P200">
        <v>15000</v>
      </c>
      <c r="Q200">
        <v>60000</v>
      </c>
      <c r="R200">
        <v>0.2</v>
      </c>
      <c r="S200">
        <v>12000</v>
      </c>
      <c r="T200">
        <v>3000</v>
      </c>
      <c r="U200">
        <v>1000</v>
      </c>
      <c r="V200">
        <v>900</v>
      </c>
      <c r="W200">
        <v>48000</v>
      </c>
      <c r="X200">
        <v>33600</v>
      </c>
      <c r="Y200">
        <v>15500</v>
      </c>
      <c r="Z200">
        <f t="shared" si="12"/>
        <v>2025</v>
      </c>
      <c r="AA200" t="str">
        <f t="shared" si="13"/>
        <v>September</v>
      </c>
      <c r="AB200">
        <f t="shared" si="14"/>
        <v>9</v>
      </c>
      <c r="AC200" t="str">
        <f t="shared" si="15"/>
        <v>Q3</v>
      </c>
    </row>
    <row r="201" spans="1:29" x14ac:dyDescent="0.35">
      <c r="A201" t="s">
        <v>254</v>
      </c>
      <c r="B201" s="3">
        <v>45711</v>
      </c>
      <c r="C201" s="3">
        <v>45712</v>
      </c>
      <c r="D201" t="s">
        <v>71</v>
      </c>
      <c r="E201" t="s">
        <v>2</v>
      </c>
      <c r="F201" t="s">
        <v>44</v>
      </c>
      <c r="G201" t="s">
        <v>14</v>
      </c>
      <c r="H201" t="str" cm="1">
        <f t="array" ref="H201">_xlfn.IFS(
OR(G201="Abuja",G201="Fct",G201="Abj"),"Abuja Municipal",
G201="Lagos","Ikeja",
G201="Oyo","Ibadan",
G201="Kano","Kano Municipal",
G201="Enugu","Enugu North",
G201="Rivers","Port Harcourt"
)</f>
        <v>Ibadan</v>
      </c>
      <c r="I201" t="s">
        <v>40</v>
      </c>
      <c r="J201" t="s">
        <v>41</v>
      </c>
      <c r="K201" t="s">
        <v>42</v>
      </c>
      <c r="L201" t="s">
        <v>8</v>
      </c>
      <c r="M201" t="s">
        <v>18</v>
      </c>
      <c r="N201" t="s">
        <v>9</v>
      </c>
      <c r="O201">
        <v>5</v>
      </c>
      <c r="P201">
        <v>78000</v>
      </c>
      <c r="Q201">
        <v>390000</v>
      </c>
      <c r="R201">
        <v>0.15</v>
      </c>
      <c r="S201">
        <v>58500</v>
      </c>
      <c r="T201">
        <v>3500</v>
      </c>
      <c r="U201">
        <v>2200</v>
      </c>
      <c r="V201">
        <v>5850</v>
      </c>
      <c r="W201">
        <v>331500</v>
      </c>
      <c r="X201">
        <v>232050</v>
      </c>
      <c r="Y201">
        <v>94900</v>
      </c>
      <c r="Z201">
        <f t="shared" si="12"/>
        <v>2025</v>
      </c>
      <c r="AA201" t="str">
        <f t="shared" si="13"/>
        <v>February</v>
      </c>
      <c r="AB201">
        <f t="shared" si="14"/>
        <v>2</v>
      </c>
      <c r="AC201" t="str">
        <f t="shared" si="15"/>
        <v>Q1</v>
      </c>
    </row>
    <row r="202" spans="1:29" x14ac:dyDescent="0.35">
      <c r="A202" t="s">
        <v>255</v>
      </c>
      <c r="B202" s="3">
        <v>45704</v>
      </c>
      <c r="C202" s="3">
        <v>45710</v>
      </c>
      <c r="D202" t="s">
        <v>75</v>
      </c>
      <c r="E202" t="s">
        <v>52</v>
      </c>
      <c r="F202" t="s">
        <v>44</v>
      </c>
      <c r="G202" t="s">
        <v>27</v>
      </c>
      <c r="H202" t="str" cm="1">
        <f t="array" ref="H202">_xlfn.IFS(
OR(G202="Abuja",G202="Fct",G202="Abj"),"Abuja Municipal",
G202="Lagos","Ikeja",
G202="Oyo","Ibadan",
G202="Kano","Kano Municipal",
G202="Enugu","Enugu North",
G202="Rivers","Port Harcourt"
)</f>
        <v>Port Harcourt</v>
      </c>
      <c r="I202" t="s">
        <v>86</v>
      </c>
      <c r="J202" t="s">
        <v>87</v>
      </c>
      <c r="K202" t="s">
        <v>23</v>
      </c>
      <c r="L202" t="s">
        <v>28</v>
      </c>
      <c r="M202" t="s">
        <v>18</v>
      </c>
      <c r="N202" t="s">
        <v>9</v>
      </c>
      <c r="O202">
        <v>4</v>
      </c>
      <c r="P202">
        <v>6500</v>
      </c>
      <c r="Q202">
        <v>26000</v>
      </c>
      <c r="R202">
        <v>0.2</v>
      </c>
      <c r="S202">
        <v>5200</v>
      </c>
      <c r="T202">
        <v>2000</v>
      </c>
      <c r="U202">
        <v>3200</v>
      </c>
      <c r="V202">
        <v>390</v>
      </c>
      <c r="W202">
        <v>20800</v>
      </c>
      <c r="X202">
        <v>14560</v>
      </c>
      <c r="Y202">
        <v>4650</v>
      </c>
      <c r="Z202">
        <f t="shared" si="12"/>
        <v>2025</v>
      </c>
      <c r="AA202" t="str">
        <f t="shared" si="13"/>
        <v>February</v>
      </c>
      <c r="AB202">
        <f t="shared" si="14"/>
        <v>2</v>
      </c>
      <c r="AC202" t="str">
        <f t="shared" si="15"/>
        <v>Q1</v>
      </c>
    </row>
    <row r="203" spans="1:29" x14ac:dyDescent="0.35">
      <c r="A203" t="s">
        <v>256</v>
      </c>
      <c r="B203" s="3">
        <v>45872</v>
      </c>
      <c r="C203" s="3">
        <v>45878</v>
      </c>
      <c r="D203" t="s">
        <v>62</v>
      </c>
      <c r="E203" t="s">
        <v>39</v>
      </c>
      <c r="F203" t="s">
        <v>13</v>
      </c>
      <c r="G203" t="s">
        <v>27</v>
      </c>
      <c r="H203" t="str" cm="1">
        <f t="array" ref="H203">_xlfn.IFS(
OR(G203="Abuja",G203="Fct",G203="Abj"),"Abuja Municipal",
G203="Lagos","Ikeja",
G203="Oyo","Ibadan",
G203="Kano","Kano Municipal",
G203="Enugu","Enugu North",
G203="Rivers","Port Harcourt"
)</f>
        <v>Port Harcourt</v>
      </c>
      <c r="I203" t="s">
        <v>5</v>
      </c>
      <c r="J203" t="s">
        <v>6</v>
      </c>
      <c r="K203" t="s">
        <v>7</v>
      </c>
      <c r="L203" t="s">
        <v>32</v>
      </c>
      <c r="M203" t="s">
        <v>303</v>
      </c>
      <c r="N203" t="s">
        <v>9</v>
      </c>
      <c r="O203">
        <v>2</v>
      </c>
      <c r="P203">
        <v>32000</v>
      </c>
      <c r="Q203">
        <v>64000</v>
      </c>
      <c r="R203">
        <v>0.05</v>
      </c>
      <c r="S203">
        <v>3200</v>
      </c>
      <c r="T203">
        <v>2000</v>
      </c>
      <c r="U203">
        <v>1500</v>
      </c>
      <c r="V203">
        <v>960</v>
      </c>
      <c r="W203">
        <v>60800</v>
      </c>
      <c r="X203">
        <v>36480</v>
      </c>
      <c r="Y203">
        <v>23860</v>
      </c>
      <c r="Z203">
        <f t="shared" si="12"/>
        <v>2025</v>
      </c>
      <c r="AA203" t="str">
        <f t="shared" si="13"/>
        <v>August</v>
      </c>
      <c r="AB203">
        <f t="shared" si="14"/>
        <v>8</v>
      </c>
      <c r="AC203" t="str">
        <f t="shared" si="15"/>
        <v>Q3</v>
      </c>
    </row>
    <row r="204" spans="1:29" x14ac:dyDescent="0.35">
      <c r="A204" t="s">
        <v>257</v>
      </c>
      <c r="B204" s="3">
        <v>45834</v>
      </c>
      <c r="C204" s="3">
        <v>45841</v>
      </c>
      <c r="D204" t="s">
        <v>38</v>
      </c>
      <c r="E204" t="s">
        <v>34</v>
      </c>
      <c r="F204" t="s">
        <v>13</v>
      </c>
      <c r="G204" t="s">
        <v>35</v>
      </c>
      <c r="H204" t="str" cm="1">
        <f t="array" ref="H204">_xlfn.IFS(
OR(G204="Abuja",G204="Fct",G204="Abj"),"Abuja Municipal",
G204="Lagos","Ikeja",
G204="Oyo","Ibadan",
G204="Kano","Kano Municipal",
G204="Enugu","Enugu North",
G204="Rivers","Port Harcourt"
)</f>
        <v>Abuja Municipal</v>
      </c>
      <c r="I204" t="s">
        <v>15</v>
      </c>
      <c r="J204" t="s">
        <v>16</v>
      </c>
      <c r="K204" t="s">
        <v>17</v>
      </c>
      <c r="L204" t="s">
        <v>32</v>
      </c>
      <c r="M204" t="s">
        <v>18</v>
      </c>
      <c r="N204" t="s">
        <v>36</v>
      </c>
      <c r="O204">
        <v>2</v>
      </c>
      <c r="P204">
        <v>45000</v>
      </c>
      <c r="Q204">
        <v>90000</v>
      </c>
      <c r="R204">
        <v>0.15</v>
      </c>
      <c r="S204">
        <v>13500</v>
      </c>
      <c r="T204">
        <v>2500</v>
      </c>
      <c r="U204">
        <v>3200</v>
      </c>
      <c r="V204">
        <v>1350</v>
      </c>
      <c r="W204">
        <v>76500</v>
      </c>
      <c r="X204">
        <v>53550</v>
      </c>
      <c r="Y204">
        <v>20900</v>
      </c>
      <c r="Z204">
        <f t="shared" si="12"/>
        <v>2025</v>
      </c>
      <c r="AA204" t="str">
        <f t="shared" si="13"/>
        <v>June</v>
      </c>
      <c r="AB204">
        <f t="shared" si="14"/>
        <v>6</v>
      </c>
      <c r="AC204" t="str">
        <f t="shared" si="15"/>
        <v>Q2</v>
      </c>
    </row>
    <row r="205" spans="1:29" x14ac:dyDescent="0.35">
      <c r="A205" t="s">
        <v>258</v>
      </c>
      <c r="B205" s="3">
        <v>45666</v>
      </c>
      <c r="C205" s="3">
        <v>45667</v>
      </c>
      <c r="D205" t="s">
        <v>11</v>
      </c>
      <c r="E205" t="s">
        <v>55</v>
      </c>
      <c r="F205" t="s">
        <v>3</v>
      </c>
      <c r="G205" t="s">
        <v>53</v>
      </c>
      <c r="H205" t="str" cm="1">
        <f t="array" ref="H205">_xlfn.IFS(
OR(G205="Abuja",G205="Fct",G205="Abj"),"Abuja Municipal",
G205="Lagos","Ikeja",
G205="Oyo","Ibadan",
G205="Kano","Kano Municipal",
G205="Enugu","Enugu North",
G205="Rivers","Port Harcourt"
)</f>
        <v>Ikeja</v>
      </c>
      <c r="I205" t="s">
        <v>5</v>
      </c>
      <c r="J205" t="s">
        <v>6</v>
      </c>
      <c r="K205" t="s">
        <v>7</v>
      </c>
      <c r="L205" t="s">
        <v>28</v>
      </c>
      <c r="M205" t="s">
        <v>303</v>
      </c>
      <c r="N205" t="s">
        <v>9</v>
      </c>
      <c r="O205">
        <v>4</v>
      </c>
      <c r="P205">
        <v>6500</v>
      </c>
      <c r="Q205">
        <v>26000</v>
      </c>
      <c r="R205">
        <v>0.05</v>
      </c>
      <c r="S205">
        <v>1300</v>
      </c>
      <c r="T205">
        <v>3500</v>
      </c>
      <c r="U205">
        <v>1800</v>
      </c>
      <c r="V205">
        <v>390</v>
      </c>
      <c r="W205">
        <v>24700</v>
      </c>
      <c r="X205">
        <v>13585</v>
      </c>
      <c r="Y205">
        <v>12425</v>
      </c>
      <c r="Z205">
        <f t="shared" si="12"/>
        <v>2025</v>
      </c>
      <c r="AA205" t="str">
        <f t="shared" si="13"/>
        <v>January</v>
      </c>
      <c r="AB205">
        <f t="shared" si="14"/>
        <v>1</v>
      </c>
      <c r="AC205" t="str">
        <f t="shared" si="15"/>
        <v>Q1</v>
      </c>
    </row>
    <row r="206" spans="1:29" x14ac:dyDescent="0.35">
      <c r="A206" t="s">
        <v>259</v>
      </c>
      <c r="B206" s="3">
        <v>45756</v>
      </c>
      <c r="C206" s="3">
        <v>45762</v>
      </c>
      <c r="D206" t="s">
        <v>11</v>
      </c>
      <c r="E206" t="s">
        <v>48</v>
      </c>
      <c r="F206" t="s">
        <v>44</v>
      </c>
      <c r="G206" t="s">
        <v>31</v>
      </c>
      <c r="H206" t="str" cm="1">
        <f t="array" ref="H206">_xlfn.IFS(
OR(G206="Abuja",G206="Fct",G206="Abj"),"Abuja Municipal",
G206="Lagos","Ikeja",
G206="Oyo","Ibadan",
G206="Kano","Kano Municipal",
G206="Enugu","Enugu North",
G206="Rivers","Port Harcourt"
)</f>
        <v>Kano Municipal</v>
      </c>
      <c r="I206" t="s">
        <v>56</v>
      </c>
      <c r="J206" t="s">
        <v>57</v>
      </c>
      <c r="K206" t="s">
        <v>17</v>
      </c>
      <c r="L206" t="s">
        <v>8</v>
      </c>
      <c r="M206" t="s">
        <v>24</v>
      </c>
      <c r="N206" t="s">
        <v>9</v>
      </c>
      <c r="O206">
        <v>2</v>
      </c>
      <c r="P206">
        <v>15000</v>
      </c>
      <c r="Q206">
        <v>30000</v>
      </c>
      <c r="R206">
        <v>0.15</v>
      </c>
      <c r="S206">
        <v>4500</v>
      </c>
      <c r="T206">
        <v>2500</v>
      </c>
      <c r="U206">
        <v>2200</v>
      </c>
      <c r="V206">
        <v>450</v>
      </c>
      <c r="W206">
        <v>25500</v>
      </c>
      <c r="X206">
        <v>16575</v>
      </c>
      <c r="Y206">
        <v>8775</v>
      </c>
      <c r="Z206">
        <f t="shared" si="12"/>
        <v>2025</v>
      </c>
      <c r="AA206" t="str">
        <f t="shared" si="13"/>
        <v>April</v>
      </c>
      <c r="AB206">
        <f t="shared" si="14"/>
        <v>4</v>
      </c>
      <c r="AC206" t="str">
        <f t="shared" si="15"/>
        <v>Q2</v>
      </c>
    </row>
    <row r="207" spans="1:29" x14ac:dyDescent="0.35">
      <c r="A207" t="s">
        <v>260</v>
      </c>
      <c r="B207" s="3">
        <v>45677</v>
      </c>
      <c r="C207" s="3">
        <v>45681</v>
      </c>
      <c r="D207" t="s">
        <v>38</v>
      </c>
      <c r="E207" t="s">
        <v>39</v>
      </c>
      <c r="F207" t="s">
        <v>44</v>
      </c>
      <c r="G207" t="s">
        <v>53</v>
      </c>
      <c r="H207" t="str" cm="1">
        <f t="array" ref="H207">_xlfn.IFS(
OR(G207="Abuja",G207="Fct",G207="Abj"),"Abuja Municipal",
G207="Lagos","Ikeja",
G207="Oyo","Ibadan",
G207="Kano","Kano Municipal",
G207="Enugu","Enugu North",
G207="Rivers","Port Harcourt"
)</f>
        <v>Ikeja</v>
      </c>
      <c r="I207" t="s">
        <v>59</v>
      </c>
      <c r="J207" t="s">
        <v>60</v>
      </c>
      <c r="K207" t="s">
        <v>42</v>
      </c>
      <c r="L207" t="s">
        <v>32</v>
      </c>
      <c r="M207" t="s">
        <v>24</v>
      </c>
      <c r="N207" t="s">
        <v>9</v>
      </c>
      <c r="O207">
        <v>5</v>
      </c>
      <c r="P207">
        <v>32000</v>
      </c>
      <c r="Q207">
        <v>160000</v>
      </c>
      <c r="R207">
        <v>0.15</v>
      </c>
      <c r="S207">
        <v>24000</v>
      </c>
      <c r="T207">
        <v>1500</v>
      </c>
      <c r="U207">
        <v>2200</v>
      </c>
      <c r="V207">
        <v>2400</v>
      </c>
      <c r="W207">
        <v>136000</v>
      </c>
      <c r="X207">
        <v>81600</v>
      </c>
      <c r="Y207">
        <v>51300</v>
      </c>
      <c r="Z207">
        <f t="shared" si="12"/>
        <v>2025</v>
      </c>
      <c r="AA207" t="str">
        <f t="shared" si="13"/>
        <v>January</v>
      </c>
      <c r="AB207">
        <f t="shared" si="14"/>
        <v>1</v>
      </c>
      <c r="AC207" t="str">
        <f t="shared" si="15"/>
        <v>Q1</v>
      </c>
    </row>
    <row r="208" spans="1:29" x14ac:dyDescent="0.35">
      <c r="A208" t="s">
        <v>261</v>
      </c>
      <c r="B208" s="3">
        <v>45898</v>
      </c>
      <c r="C208" s="3">
        <v>45902</v>
      </c>
      <c r="D208" t="s">
        <v>33</v>
      </c>
      <c r="E208" t="s">
        <v>48</v>
      </c>
      <c r="F208" t="s">
        <v>44</v>
      </c>
      <c r="G208" t="s">
        <v>35</v>
      </c>
      <c r="H208" t="str" cm="1">
        <f t="array" ref="H208">_xlfn.IFS(
OR(G208="Abuja",G208="Fct",G208="Abj"),"Abuja Municipal",
G208="Lagos","Ikeja",
G208="Oyo","Ibadan",
G208="Kano","Kano Municipal",
G208="Enugu","Enugu North",
G208="Rivers","Port Harcourt"
)</f>
        <v>Abuja Municipal</v>
      </c>
      <c r="I208" t="s">
        <v>15</v>
      </c>
      <c r="J208" t="s">
        <v>16</v>
      </c>
      <c r="K208" t="s">
        <v>17</v>
      </c>
      <c r="L208" t="s">
        <v>8</v>
      </c>
      <c r="M208" t="s">
        <v>18</v>
      </c>
      <c r="N208" t="s">
        <v>9</v>
      </c>
      <c r="O208">
        <v>1</v>
      </c>
      <c r="P208">
        <v>25500</v>
      </c>
      <c r="Q208">
        <v>25500</v>
      </c>
      <c r="R208">
        <v>0.05</v>
      </c>
      <c r="S208">
        <v>1275</v>
      </c>
      <c r="T208">
        <v>3500</v>
      </c>
      <c r="U208">
        <v>1000</v>
      </c>
      <c r="V208">
        <v>382.5</v>
      </c>
      <c r="W208">
        <v>24225</v>
      </c>
      <c r="X208">
        <v>16957.5</v>
      </c>
      <c r="Y208">
        <v>9385</v>
      </c>
      <c r="Z208">
        <f t="shared" si="12"/>
        <v>2025</v>
      </c>
      <c r="AA208" t="str">
        <f t="shared" si="13"/>
        <v>August</v>
      </c>
      <c r="AB208">
        <f t="shared" si="14"/>
        <v>8</v>
      </c>
      <c r="AC208" t="str">
        <f t="shared" si="15"/>
        <v>Q3</v>
      </c>
    </row>
    <row r="209" spans="1:29" x14ac:dyDescent="0.35">
      <c r="A209" t="s">
        <v>262</v>
      </c>
      <c r="B209" s="3">
        <v>45718</v>
      </c>
      <c r="C209" s="3">
        <v>45722</v>
      </c>
      <c r="D209" t="s">
        <v>38</v>
      </c>
      <c r="E209" t="s">
        <v>39</v>
      </c>
      <c r="F209" t="s">
        <v>3</v>
      </c>
      <c r="G209" t="s">
        <v>35</v>
      </c>
      <c r="H209" t="str" cm="1">
        <f t="array" ref="H209">_xlfn.IFS(
OR(G209="Abuja",G209="Fct",G209="Abj"),"Abuja Municipal",
G209="Lagos","Ikeja",
G209="Oyo","Ibadan",
G209="Kano","Kano Municipal",
G209="Enugu","Enugu North",
G209="Rivers","Port Harcourt"
)</f>
        <v>Abuja Municipal</v>
      </c>
      <c r="I209" t="s">
        <v>59</v>
      </c>
      <c r="J209" t="s">
        <v>60</v>
      </c>
      <c r="K209" t="s">
        <v>42</v>
      </c>
      <c r="L209" t="s">
        <v>28</v>
      </c>
      <c r="M209" t="s">
        <v>24</v>
      </c>
      <c r="N209" t="s">
        <v>9</v>
      </c>
      <c r="O209">
        <v>5</v>
      </c>
      <c r="P209">
        <v>18500</v>
      </c>
      <c r="Q209">
        <v>92500</v>
      </c>
      <c r="R209">
        <v>0.1</v>
      </c>
      <c r="S209">
        <v>9250</v>
      </c>
      <c r="T209">
        <v>1500</v>
      </c>
      <c r="U209">
        <v>1800</v>
      </c>
      <c r="V209">
        <v>1387.5</v>
      </c>
      <c r="W209">
        <v>83250</v>
      </c>
      <c r="X209">
        <v>49950</v>
      </c>
      <c r="Y209">
        <v>31612.5</v>
      </c>
      <c r="Z209">
        <f t="shared" si="12"/>
        <v>2025</v>
      </c>
      <c r="AA209" t="str">
        <f t="shared" si="13"/>
        <v>March</v>
      </c>
      <c r="AB209">
        <f t="shared" si="14"/>
        <v>3</v>
      </c>
      <c r="AC209" t="str">
        <f t="shared" si="15"/>
        <v>Q1</v>
      </c>
    </row>
    <row r="210" spans="1:29" x14ac:dyDescent="0.35">
      <c r="A210" t="s">
        <v>263</v>
      </c>
      <c r="B210" s="3">
        <v>45835</v>
      </c>
      <c r="C210" s="3">
        <v>45836</v>
      </c>
      <c r="D210" t="s">
        <v>38</v>
      </c>
      <c r="E210" t="s">
        <v>34</v>
      </c>
      <c r="F210" t="s">
        <v>3</v>
      </c>
      <c r="G210" t="s">
        <v>31</v>
      </c>
      <c r="H210" t="str" cm="1">
        <f t="array" ref="H210">_xlfn.IFS(
OR(G210="Abuja",G210="Fct",G210="Abj"),"Abuja Municipal",
G210="Lagos","Ikeja",
G210="Oyo","Ibadan",
G210="Kano","Kano Municipal",
G210="Enugu","Enugu North",
G210="Rivers","Port Harcourt"
)</f>
        <v>Kano Municipal</v>
      </c>
      <c r="I210" t="s">
        <v>21</v>
      </c>
      <c r="J210" t="s">
        <v>22</v>
      </c>
      <c r="K210" t="s">
        <v>23</v>
      </c>
      <c r="L210" t="s">
        <v>8</v>
      </c>
      <c r="M210" t="s">
        <v>18</v>
      </c>
      <c r="N210" t="s">
        <v>9</v>
      </c>
      <c r="O210">
        <v>5</v>
      </c>
      <c r="P210">
        <v>120000</v>
      </c>
      <c r="Q210">
        <v>600000</v>
      </c>
      <c r="R210">
        <v>0</v>
      </c>
      <c r="S210">
        <v>0</v>
      </c>
      <c r="T210">
        <v>2500</v>
      </c>
      <c r="U210">
        <v>1500</v>
      </c>
      <c r="V210">
        <v>9000</v>
      </c>
      <c r="W210">
        <v>600000</v>
      </c>
      <c r="X210">
        <v>420000</v>
      </c>
      <c r="Y210">
        <v>172000</v>
      </c>
      <c r="Z210">
        <f t="shared" si="12"/>
        <v>2025</v>
      </c>
      <c r="AA210" t="str">
        <f t="shared" si="13"/>
        <v>June</v>
      </c>
      <c r="AB210">
        <f t="shared" si="14"/>
        <v>6</v>
      </c>
      <c r="AC210" t="str">
        <f t="shared" si="15"/>
        <v>Q2</v>
      </c>
    </row>
    <row r="211" spans="1:29" x14ac:dyDescent="0.35">
      <c r="A211" t="s">
        <v>264</v>
      </c>
      <c r="B211" s="3">
        <v>45995</v>
      </c>
      <c r="C211" s="3">
        <v>46001</v>
      </c>
      <c r="D211" t="s">
        <v>11</v>
      </c>
      <c r="E211" t="s">
        <v>34</v>
      </c>
      <c r="F211" t="s">
        <v>3</v>
      </c>
      <c r="G211" t="s">
        <v>53</v>
      </c>
      <c r="H211" t="str" cm="1">
        <f t="array" ref="H211">_xlfn.IFS(
OR(G211="Abuja",G211="Fct",G211="Abj"),"Abuja Municipal",
G211="Lagos","Ikeja",
G211="Oyo","Ibadan",
G211="Kano","Kano Municipal",
G211="Enugu","Enugu North",
G211="Rivers","Port Harcourt"
)</f>
        <v>Ikeja</v>
      </c>
      <c r="I211" t="s">
        <v>40</v>
      </c>
      <c r="J211" t="s">
        <v>41</v>
      </c>
      <c r="K211" t="s">
        <v>42</v>
      </c>
      <c r="L211" t="s">
        <v>32</v>
      </c>
      <c r="M211" t="s">
        <v>24</v>
      </c>
      <c r="N211" t="s">
        <v>9</v>
      </c>
      <c r="O211">
        <v>2</v>
      </c>
      <c r="P211">
        <v>78000</v>
      </c>
      <c r="Q211">
        <v>156000</v>
      </c>
      <c r="R211">
        <v>0.2</v>
      </c>
      <c r="S211">
        <v>31200</v>
      </c>
      <c r="T211">
        <v>3500</v>
      </c>
      <c r="U211">
        <v>2200</v>
      </c>
      <c r="V211">
        <v>2340</v>
      </c>
      <c r="W211">
        <v>124800</v>
      </c>
      <c r="X211">
        <v>74880</v>
      </c>
      <c r="Y211">
        <v>48880</v>
      </c>
      <c r="Z211">
        <f t="shared" si="12"/>
        <v>2025</v>
      </c>
      <c r="AA211" t="str">
        <f t="shared" si="13"/>
        <v>December</v>
      </c>
      <c r="AB211">
        <f t="shared" si="14"/>
        <v>12</v>
      </c>
      <c r="AC211" t="str">
        <f t="shared" si="15"/>
        <v>Q4</v>
      </c>
    </row>
    <row r="212" spans="1:29" x14ac:dyDescent="0.35">
      <c r="A212" t="s">
        <v>265</v>
      </c>
      <c r="B212" s="3">
        <v>45719</v>
      </c>
      <c r="C212" s="3">
        <v>45720</v>
      </c>
      <c r="D212" t="s">
        <v>1</v>
      </c>
      <c r="E212" t="s">
        <v>52</v>
      </c>
      <c r="F212" t="s">
        <v>3</v>
      </c>
      <c r="G212" t="s">
        <v>14</v>
      </c>
      <c r="H212" t="str" cm="1">
        <f t="array" ref="H212">_xlfn.IFS(
OR(G212="Abuja",G212="Fct",G212="Abj"),"Abuja Municipal",
G212="Lagos","Ikeja",
G212="Oyo","Ibadan",
G212="Kano","Kano Municipal",
G212="Enugu","Enugu North",
G212="Rivers","Port Harcourt"
)</f>
        <v>Ibadan</v>
      </c>
      <c r="I212" t="s">
        <v>49</v>
      </c>
      <c r="J212" t="s">
        <v>50</v>
      </c>
      <c r="K212" t="s">
        <v>42</v>
      </c>
      <c r="L212" t="s">
        <v>32</v>
      </c>
      <c r="M212" t="s">
        <v>303</v>
      </c>
      <c r="N212" t="s">
        <v>9</v>
      </c>
      <c r="O212">
        <v>1</v>
      </c>
      <c r="P212">
        <v>78000</v>
      </c>
      <c r="Q212">
        <v>78000</v>
      </c>
      <c r="R212">
        <v>0.15</v>
      </c>
      <c r="S212">
        <v>11700</v>
      </c>
      <c r="T212">
        <v>2500</v>
      </c>
      <c r="U212">
        <v>2200</v>
      </c>
      <c r="V212">
        <v>1170</v>
      </c>
      <c r="W212">
        <v>66300</v>
      </c>
      <c r="X212">
        <v>43095</v>
      </c>
      <c r="Y212">
        <v>22335</v>
      </c>
      <c r="Z212">
        <f t="shared" si="12"/>
        <v>2025</v>
      </c>
      <c r="AA212" t="str">
        <f t="shared" si="13"/>
        <v>March</v>
      </c>
      <c r="AB212">
        <f t="shared" si="14"/>
        <v>3</v>
      </c>
      <c r="AC212" t="str">
        <f t="shared" si="15"/>
        <v>Q1</v>
      </c>
    </row>
    <row r="213" spans="1:29" x14ac:dyDescent="0.35">
      <c r="A213" t="s">
        <v>266</v>
      </c>
      <c r="B213" s="3">
        <v>45802</v>
      </c>
      <c r="C213" s="3">
        <v>45806</v>
      </c>
      <c r="D213" t="s">
        <v>11</v>
      </c>
      <c r="E213" t="s">
        <v>52</v>
      </c>
      <c r="F213" t="s">
        <v>44</v>
      </c>
      <c r="G213" t="s">
        <v>4</v>
      </c>
      <c r="H213" t="str" cm="1">
        <f t="array" ref="H213">_xlfn.IFS(
OR(G213="Abuja",G213="Fct",G213="Abj"),"Abuja Municipal",
G213="Lagos","Ikeja",
G213="Oyo","Ibadan",
G213="Kano","Kano Municipal",
G213="Enugu","Enugu North",
G213="Rivers","Port Harcourt"
)</f>
        <v>Enugu North</v>
      </c>
      <c r="I213" t="s">
        <v>5</v>
      </c>
      <c r="J213" t="s">
        <v>6</v>
      </c>
      <c r="K213" t="s">
        <v>7</v>
      </c>
      <c r="L213" t="s">
        <v>8</v>
      </c>
      <c r="M213" t="s">
        <v>24</v>
      </c>
      <c r="N213" t="s">
        <v>9</v>
      </c>
      <c r="O213">
        <v>2</v>
      </c>
      <c r="P213">
        <v>18500</v>
      </c>
      <c r="Q213">
        <v>37000</v>
      </c>
      <c r="R213">
        <v>0.2</v>
      </c>
      <c r="S213">
        <v>7400</v>
      </c>
      <c r="T213">
        <v>3500</v>
      </c>
      <c r="U213">
        <v>1000</v>
      </c>
      <c r="V213">
        <v>555</v>
      </c>
      <c r="W213">
        <v>29600</v>
      </c>
      <c r="X213">
        <v>19240</v>
      </c>
      <c r="Y213">
        <v>12305</v>
      </c>
      <c r="Z213">
        <f t="shared" si="12"/>
        <v>2025</v>
      </c>
      <c r="AA213" t="str">
        <f t="shared" si="13"/>
        <v>May</v>
      </c>
      <c r="AB213">
        <f t="shared" si="14"/>
        <v>5</v>
      </c>
      <c r="AC213" t="str">
        <f t="shared" si="15"/>
        <v>Q2</v>
      </c>
    </row>
    <row r="214" spans="1:29" x14ac:dyDescent="0.35">
      <c r="A214" t="s">
        <v>267</v>
      </c>
      <c r="B214" s="3">
        <v>45873</v>
      </c>
      <c r="C214" s="3">
        <v>45880</v>
      </c>
      <c r="D214" t="s">
        <v>75</v>
      </c>
      <c r="E214" t="s">
        <v>34</v>
      </c>
      <c r="F214" t="s">
        <v>44</v>
      </c>
      <c r="G214" t="s">
        <v>53</v>
      </c>
      <c r="H214" t="str" cm="1">
        <f t="array" ref="H214">_xlfn.IFS(
OR(G214="Abuja",G214="Fct",G214="Abj"),"Abuja Municipal",
G214="Lagos","Ikeja",
G214="Oyo","Ibadan",
G214="Kano","Kano Municipal",
G214="Enugu","Enugu North",
G214="Rivers","Port Harcourt"
)</f>
        <v>Ikeja</v>
      </c>
      <c r="I214" t="s">
        <v>86</v>
      </c>
      <c r="J214" t="s">
        <v>87</v>
      </c>
      <c r="K214" t="s">
        <v>23</v>
      </c>
      <c r="L214" t="s">
        <v>28</v>
      </c>
      <c r="M214" t="s">
        <v>18</v>
      </c>
      <c r="N214" t="s">
        <v>9</v>
      </c>
      <c r="O214">
        <v>3</v>
      </c>
      <c r="P214">
        <v>120000</v>
      </c>
      <c r="Q214">
        <v>360000</v>
      </c>
      <c r="R214">
        <v>0.05</v>
      </c>
      <c r="S214">
        <v>18000</v>
      </c>
      <c r="T214">
        <v>2500</v>
      </c>
      <c r="U214">
        <v>2800</v>
      </c>
      <c r="V214">
        <v>5400</v>
      </c>
      <c r="W214">
        <v>342000</v>
      </c>
      <c r="X214">
        <v>188100</v>
      </c>
      <c r="Y214">
        <v>148200</v>
      </c>
      <c r="Z214">
        <f t="shared" si="12"/>
        <v>2025</v>
      </c>
      <c r="AA214" t="str">
        <f t="shared" si="13"/>
        <v>August</v>
      </c>
      <c r="AB214">
        <f t="shared" si="14"/>
        <v>8</v>
      </c>
      <c r="AC214" t="str">
        <f t="shared" si="15"/>
        <v>Q3</v>
      </c>
    </row>
    <row r="215" spans="1:29" x14ac:dyDescent="0.35">
      <c r="A215" t="s">
        <v>268</v>
      </c>
      <c r="B215" s="3">
        <v>45660</v>
      </c>
      <c r="C215" s="3">
        <v>45666</v>
      </c>
      <c r="D215" t="s">
        <v>71</v>
      </c>
      <c r="E215" t="s">
        <v>12</v>
      </c>
      <c r="F215" t="s">
        <v>13</v>
      </c>
      <c r="G215" t="s">
        <v>4</v>
      </c>
      <c r="H215" t="str" cm="1">
        <f t="array" ref="H215">_xlfn.IFS(
OR(G215="Abuja",G215="Fct",G215="Abj"),"Abuja Municipal",
G215="Lagos","Ikeja",
G215="Oyo","Ibadan",
G215="Kano","Kano Municipal",
G215="Enugu","Enugu North",
G215="Rivers","Port Harcourt"
)</f>
        <v>Enugu North</v>
      </c>
      <c r="I215" t="s">
        <v>40</v>
      </c>
      <c r="J215" t="s">
        <v>41</v>
      </c>
      <c r="K215" t="s">
        <v>42</v>
      </c>
      <c r="L215" t="s">
        <v>8</v>
      </c>
      <c r="M215" t="s">
        <v>24</v>
      </c>
      <c r="N215" t="s">
        <v>9</v>
      </c>
      <c r="O215">
        <v>2</v>
      </c>
      <c r="P215">
        <v>18500</v>
      </c>
      <c r="Q215">
        <v>37000</v>
      </c>
      <c r="R215">
        <v>0.2</v>
      </c>
      <c r="S215">
        <v>7400</v>
      </c>
      <c r="T215">
        <v>2000</v>
      </c>
      <c r="U215">
        <v>1500</v>
      </c>
      <c r="V215">
        <v>555</v>
      </c>
      <c r="W215">
        <v>29600</v>
      </c>
      <c r="X215">
        <v>16280</v>
      </c>
      <c r="Y215">
        <v>13265</v>
      </c>
      <c r="Z215">
        <f t="shared" si="12"/>
        <v>2025</v>
      </c>
      <c r="AA215" t="str">
        <f t="shared" si="13"/>
        <v>January</v>
      </c>
      <c r="AB215">
        <f t="shared" si="14"/>
        <v>1</v>
      </c>
      <c r="AC215" t="str">
        <f t="shared" si="15"/>
        <v>Q1</v>
      </c>
    </row>
    <row r="216" spans="1:29" x14ac:dyDescent="0.35">
      <c r="A216" t="s">
        <v>269</v>
      </c>
      <c r="B216" s="3">
        <v>45817</v>
      </c>
      <c r="C216" s="3">
        <v>45823</v>
      </c>
      <c r="D216" t="s">
        <v>20</v>
      </c>
      <c r="E216" t="s">
        <v>34</v>
      </c>
      <c r="F216" t="s">
        <v>13</v>
      </c>
      <c r="G216" t="s">
        <v>14</v>
      </c>
      <c r="H216" t="str" cm="1">
        <f t="array" ref="H216">_xlfn.IFS(
OR(G216="Abuja",G216="Fct",G216="Abj"),"Abuja Municipal",
G216="Lagos","Ikeja",
G216="Oyo","Ibadan",
G216="Kano","Kano Municipal",
G216="Enugu","Enugu North",
G216="Rivers","Port Harcourt"
)</f>
        <v>Ibadan</v>
      </c>
      <c r="I216" t="s">
        <v>15</v>
      </c>
      <c r="J216" t="s">
        <v>16</v>
      </c>
      <c r="K216" t="s">
        <v>17</v>
      </c>
      <c r="L216" t="s">
        <v>28</v>
      </c>
      <c r="M216" t="s">
        <v>303</v>
      </c>
      <c r="N216" t="s">
        <v>46</v>
      </c>
      <c r="O216">
        <v>2</v>
      </c>
      <c r="P216">
        <v>25500</v>
      </c>
      <c r="Q216">
        <v>51000</v>
      </c>
      <c r="R216">
        <v>0.05</v>
      </c>
      <c r="S216">
        <v>2550</v>
      </c>
      <c r="T216">
        <v>2500</v>
      </c>
      <c r="U216">
        <v>3200</v>
      </c>
      <c r="V216">
        <v>765</v>
      </c>
      <c r="W216">
        <v>48450</v>
      </c>
      <c r="X216">
        <v>33915</v>
      </c>
      <c r="Y216">
        <v>13070</v>
      </c>
      <c r="Z216">
        <f t="shared" si="12"/>
        <v>2025</v>
      </c>
      <c r="AA216" t="str">
        <f t="shared" si="13"/>
        <v>June</v>
      </c>
      <c r="AB216">
        <f t="shared" si="14"/>
        <v>6</v>
      </c>
      <c r="AC216" t="str">
        <f t="shared" si="15"/>
        <v>Q2</v>
      </c>
    </row>
    <row r="217" spans="1:29" x14ac:dyDescent="0.35">
      <c r="A217" t="s">
        <v>270</v>
      </c>
      <c r="B217" s="3">
        <v>45884</v>
      </c>
      <c r="C217" s="3">
        <v>45889</v>
      </c>
      <c r="D217" t="s">
        <v>1</v>
      </c>
      <c r="E217" t="s">
        <v>2</v>
      </c>
      <c r="F217" t="s">
        <v>3</v>
      </c>
      <c r="G217" t="s">
        <v>35</v>
      </c>
      <c r="H217" t="str" cm="1">
        <f t="array" ref="H217">_xlfn.IFS(
OR(G217="Abuja",G217="Fct",G217="Abj"),"Abuja Municipal",
G217="Lagos","Ikeja",
G217="Oyo","Ibadan",
G217="Kano","Kano Municipal",
G217="Enugu","Enugu North",
G217="Rivers","Port Harcourt"
)</f>
        <v>Abuja Municipal</v>
      </c>
      <c r="I217" t="s">
        <v>59</v>
      </c>
      <c r="J217" t="s">
        <v>60</v>
      </c>
      <c r="K217" t="s">
        <v>42</v>
      </c>
      <c r="L217" t="s">
        <v>8</v>
      </c>
      <c r="M217" t="s">
        <v>303</v>
      </c>
      <c r="N217" t="s">
        <v>9</v>
      </c>
      <c r="O217">
        <v>2</v>
      </c>
      <c r="P217">
        <v>15000</v>
      </c>
      <c r="Q217">
        <v>30000</v>
      </c>
      <c r="R217">
        <v>0.2</v>
      </c>
      <c r="S217">
        <v>6000</v>
      </c>
      <c r="T217">
        <v>2000</v>
      </c>
      <c r="U217">
        <v>1800</v>
      </c>
      <c r="V217">
        <v>450</v>
      </c>
      <c r="W217">
        <v>24000</v>
      </c>
      <c r="X217">
        <v>15600</v>
      </c>
      <c r="Y217">
        <v>8150</v>
      </c>
      <c r="Z217">
        <f t="shared" si="12"/>
        <v>2025</v>
      </c>
      <c r="AA217" t="str">
        <f t="shared" si="13"/>
        <v>August</v>
      </c>
      <c r="AB217">
        <f t="shared" si="14"/>
        <v>8</v>
      </c>
      <c r="AC217" t="str">
        <f t="shared" si="15"/>
        <v>Q3</v>
      </c>
    </row>
    <row r="218" spans="1:29" x14ac:dyDescent="0.35">
      <c r="A218" t="s">
        <v>271</v>
      </c>
      <c r="B218" s="3">
        <v>45926</v>
      </c>
      <c r="C218" s="3">
        <v>45931</v>
      </c>
      <c r="D218" t="s">
        <v>65</v>
      </c>
      <c r="E218" t="s">
        <v>2</v>
      </c>
      <c r="F218" t="s">
        <v>3</v>
      </c>
      <c r="G218" t="s">
        <v>35</v>
      </c>
      <c r="H218" t="str" cm="1">
        <f t="array" ref="H218">_xlfn.IFS(
OR(G218="Abuja",G218="Fct",G218="Abj"),"Abuja Municipal",
G218="Lagos","Ikeja",
G218="Oyo","Ibadan",
G218="Kano","Kano Municipal",
G218="Enugu","Enugu North",
G218="Rivers","Port Harcourt"
)</f>
        <v>Abuja Municipal</v>
      </c>
      <c r="I218" t="s">
        <v>86</v>
      </c>
      <c r="J218" t="s">
        <v>87</v>
      </c>
      <c r="K218" t="s">
        <v>23</v>
      </c>
      <c r="L218" t="s">
        <v>32</v>
      </c>
      <c r="M218" t="s">
        <v>18</v>
      </c>
      <c r="N218" t="s">
        <v>36</v>
      </c>
      <c r="O218">
        <v>1</v>
      </c>
      <c r="P218">
        <v>32000</v>
      </c>
      <c r="Q218">
        <v>32000</v>
      </c>
      <c r="R218">
        <v>0</v>
      </c>
      <c r="S218">
        <v>0</v>
      </c>
      <c r="T218">
        <v>2500</v>
      </c>
      <c r="U218">
        <v>2200</v>
      </c>
      <c r="V218">
        <v>480</v>
      </c>
      <c r="W218">
        <v>32000</v>
      </c>
      <c r="X218">
        <v>19200</v>
      </c>
      <c r="Y218">
        <v>12620</v>
      </c>
      <c r="Z218">
        <f t="shared" si="12"/>
        <v>2025</v>
      </c>
      <c r="AA218" t="str">
        <f t="shared" si="13"/>
        <v>September</v>
      </c>
      <c r="AB218">
        <f t="shared" si="14"/>
        <v>9</v>
      </c>
      <c r="AC218" t="str">
        <f t="shared" si="15"/>
        <v>Q3</v>
      </c>
    </row>
    <row r="219" spans="1:29" x14ac:dyDescent="0.35">
      <c r="A219" t="s">
        <v>272</v>
      </c>
      <c r="B219" s="3">
        <v>45777</v>
      </c>
      <c r="C219" s="3">
        <v>45779</v>
      </c>
      <c r="D219" t="s">
        <v>20</v>
      </c>
      <c r="E219" t="s">
        <v>12</v>
      </c>
      <c r="F219" t="s">
        <v>3</v>
      </c>
      <c r="G219" t="s">
        <v>53</v>
      </c>
      <c r="H219" t="str" cm="1">
        <f t="array" ref="H219">_xlfn.IFS(
OR(G219="Abuja",G219="Fct",G219="Abj"),"Abuja Municipal",
G219="Lagos","Ikeja",
G219="Oyo","Ibadan",
G219="Kano","Kano Municipal",
G219="Enugu","Enugu North",
G219="Rivers","Port Harcourt"
)</f>
        <v>Ikeja</v>
      </c>
      <c r="I219" t="s">
        <v>59</v>
      </c>
      <c r="J219" t="s">
        <v>60</v>
      </c>
      <c r="K219" t="s">
        <v>42</v>
      </c>
      <c r="L219" t="s">
        <v>28</v>
      </c>
      <c r="M219" t="s">
        <v>24</v>
      </c>
      <c r="N219" t="s">
        <v>9</v>
      </c>
      <c r="O219">
        <v>2</v>
      </c>
      <c r="P219">
        <v>6500</v>
      </c>
      <c r="Q219">
        <v>13000</v>
      </c>
      <c r="R219">
        <v>0</v>
      </c>
      <c r="S219">
        <v>0</v>
      </c>
      <c r="T219">
        <v>3500</v>
      </c>
      <c r="U219">
        <v>2200</v>
      </c>
      <c r="V219">
        <v>195</v>
      </c>
      <c r="W219">
        <v>13000</v>
      </c>
      <c r="X219">
        <v>7800</v>
      </c>
      <c r="Y219">
        <v>6305</v>
      </c>
      <c r="Z219">
        <f t="shared" si="12"/>
        <v>2025</v>
      </c>
      <c r="AA219" t="str">
        <f t="shared" si="13"/>
        <v>April</v>
      </c>
      <c r="AB219">
        <f t="shared" si="14"/>
        <v>4</v>
      </c>
      <c r="AC219" t="str">
        <f t="shared" si="15"/>
        <v>Q2</v>
      </c>
    </row>
    <row r="220" spans="1:29" x14ac:dyDescent="0.35">
      <c r="A220" t="s">
        <v>273</v>
      </c>
      <c r="B220" s="3">
        <v>45746</v>
      </c>
      <c r="C220" s="3">
        <v>45749</v>
      </c>
      <c r="D220" t="s">
        <v>71</v>
      </c>
      <c r="E220" t="s">
        <v>30</v>
      </c>
      <c r="F220" t="s">
        <v>13</v>
      </c>
      <c r="G220" t="s">
        <v>35</v>
      </c>
      <c r="H220" t="str" cm="1">
        <f t="array" ref="H220">_xlfn.IFS(
OR(G220="Abuja",G220="Fct",G220="Abj"),"Abuja Municipal",
G220="Lagos","Ikeja",
G220="Oyo","Ibadan",
G220="Kano","Kano Municipal",
G220="Enugu","Enugu North",
G220="Rivers","Port Harcourt"
)</f>
        <v>Abuja Municipal</v>
      </c>
      <c r="I220" t="s">
        <v>56</v>
      </c>
      <c r="J220" t="s">
        <v>57</v>
      </c>
      <c r="K220" t="s">
        <v>17</v>
      </c>
      <c r="L220" t="s">
        <v>28</v>
      </c>
      <c r="M220" t="s">
        <v>303</v>
      </c>
      <c r="N220" t="s">
        <v>9</v>
      </c>
      <c r="O220">
        <v>1</v>
      </c>
      <c r="P220">
        <v>78000</v>
      </c>
      <c r="Q220">
        <v>78000</v>
      </c>
      <c r="R220">
        <v>0</v>
      </c>
      <c r="S220">
        <v>0</v>
      </c>
      <c r="T220">
        <v>3500</v>
      </c>
      <c r="U220">
        <v>3200</v>
      </c>
      <c r="V220">
        <v>1170</v>
      </c>
      <c r="W220">
        <v>78000</v>
      </c>
      <c r="X220">
        <v>46800</v>
      </c>
      <c r="Y220">
        <v>30330</v>
      </c>
      <c r="Z220">
        <f t="shared" si="12"/>
        <v>2025</v>
      </c>
      <c r="AA220" t="str">
        <f t="shared" si="13"/>
        <v>March</v>
      </c>
      <c r="AB220">
        <f t="shared" si="14"/>
        <v>3</v>
      </c>
      <c r="AC220" t="str">
        <f t="shared" si="15"/>
        <v>Q1</v>
      </c>
    </row>
    <row r="221" spans="1:29" x14ac:dyDescent="0.35">
      <c r="A221" t="s">
        <v>274</v>
      </c>
      <c r="B221" s="3">
        <v>45986</v>
      </c>
      <c r="C221" s="3">
        <v>45991</v>
      </c>
      <c r="D221" t="s">
        <v>75</v>
      </c>
      <c r="E221" t="s">
        <v>55</v>
      </c>
      <c r="F221" t="s">
        <v>44</v>
      </c>
      <c r="G221" t="s">
        <v>27</v>
      </c>
      <c r="H221" t="str" cm="1">
        <f t="array" ref="H221">_xlfn.IFS(
OR(G221="Abuja",G221="Fct",G221="Abj"),"Abuja Municipal",
G221="Lagos","Ikeja",
G221="Oyo","Ibadan",
G221="Kano","Kano Municipal",
G221="Enugu","Enugu North",
G221="Rivers","Port Harcourt"
)</f>
        <v>Port Harcourt</v>
      </c>
      <c r="I221" t="s">
        <v>59</v>
      </c>
      <c r="J221" t="s">
        <v>60</v>
      </c>
      <c r="K221" t="s">
        <v>42</v>
      </c>
      <c r="L221" t="s">
        <v>28</v>
      </c>
      <c r="M221" t="s">
        <v>18</v>
      </c>
      <c r="N221" t="s">
        <v>46</v>
      </c>
      <c r="O221">
        <v>4</v>
      </c>
      <c r="P221">
        <v>25500</v>
      </c>
      <c r="Q221">
        <v>102000</v>
      </c>
      <c r="R221">
        <v>0</v>
      </c>
      <c r="S221">
        <v>0</v>
      </c>
      <c r="T221">
        <v>3500</v>
      </c>
      <c r="U221">
        <v>1500</v>
      </c>
      <c r="V221">
        <v>1530</v>
      </c>
      <c r="W221">
        <v>102000</v>
      </c>
      <c r="X221">
        <v>56100</v>
      </c>
      <c r="Y221">
        <v>46370</v>
      </c>
      <c r="Z221">
        <f t="shared" si="12"/>
        <v>2025</v>
      </c>
      <c r="AA221" t="str">
        <f t="shared" si="13"/>
        <v>November</v>
      </c>
      <c r="AB221">
        <f t="shared" si="14"/>
        <v>11</v>
      </c>
      <c r="AC221" t="str">
        <f t="shared" si="15"/>
        <v>Q4</v>
      </c>
    </row>
    <row r="222" spans="1:29" x14ac:dyDescent="0.35">
      <c r="A222" t="s">
        <v>275</v>
      </c>
      <c r="B222" s="3">
        <v>45725</v>
      </c>
      <c r="C222" s="3">
        <v>45726</v>
      </c>
      <c r="D222" t="s">
        <v>75</v>
      </c>
      <c r="E222" t="s">
        <v>30</v>
      </c>
      <c r="F222" t="s">
        <v>44</v>
      </c>
      <c r="G222" t="s">
        <v>35</v>
      </c>
      <c r="H222" t="str" cm="1">
        <f t="array" ref="H222">_xlfn.IFS(
OR(G222="Abuja",G222="Fct",G222="Abj"),"Abuja Municipal",
G222="Lagos","Ikeja",
G222="Oyo","Ibadan",
G222="Kano","Kano Municipal",
G222="Enugu","Enugu North",
G222="Rivers","Port Harcourt"
)</f>
        <v>Abuja Municipal</v>
      </c>
      <c r="I222" t="s">
        <v>56</v>
      </c>
      <c r="J222" t="s">
        <v>57</v>
      </c>
      <c r="K222" t="s">
        <v>17</v>
      </c>
      <c r="L222" t="s">
        <v>32</v>
      </c>
      <c r="M222" t="s">
        <v>18</v>
      </c>
      <c r="N222" t="s">
        <v>9</v>
      </c>
      <c r="O222">
        <v>3</v>
      </c>
      <c r="P222">
        <v>32000</v>
      </c>
      <c r="Q222">
        <v>96000</v>
      </c>
      <c r="R222">
        <v>0</v>
      </c>
      <c r="S222">
        <v>0</v>
      </c>
      <c r="T222">
        <v>3000</v>
      </c>
      <c r="U222">
        <v>2800</v>
      </c>
      <c r="V222">
        <v>1440</v>
      </c>
      <c r="W222">
        <v>96000</v>
      </c>
      <c r="X222">
        <v>57600</v>
      </c>
      <c r="Y222">
        <v>37160</v>
      </c>
      <c r="Z222">
        <f t="shared" si="12"/>
        <v>2025</v>
      </c>
      <c r="AA222" t="str">
        <f t="shared" si="13"/>
        <v>March</v>
      </c>
      <c r="AB222">
        <f t="shared" si="14"/>
        <v>3</v>
      </c>
      <c r="AC222" t="str">
        <f t="shared" si="15"/>
        <v>Q1</v>
      </c>
    </row>
    <row r="223" spans="1:29" x14ac:dyDescent="0.35">
      <c r="A223" t="s">
        <v>276</v>
      </c>
      <c r="B223" s="3">
        <v>46014</v>
      </c>
      <c r="C223" s="3">
        <v>46019</v>
      </c>
      <c r="D223" t="s">
        <v>65</v>
      </c>
      <c r="E223" t="s">
        <v>48</v>
      </c>
      <c r="F223" t="s">
        <v>13</v>
      </c>
      <c r="G223" t="s">
        <v>35</v>
      </c>
      <c r="H223" t="str" cm="1">
        <f t="array" ref="H223">_xlfn.IFS(
OR(G223="Abuja",G223="Fct",G223="Abj"),"Abuja Municipal",
G223="Lagos","Ikeja",
G223="Oyo","Ibadan",
G223="Kano","Kano Municipal",
G223="Enugu","Enugu North",
G223="Rivers","Port Harcourt"
)</f>
        <v>Abuja Municipal</v>
      </c>
      <c r="I223" t="s">
        <v>21</v>
      </c>
      <c r="J223" t="s">
        <v>22</v>
      </c>
      <c r="K223" t="s">
        <v>23</v>
      </c>
      <c r="L223" t="s">
        <v>8</v>
      </c>
      <c r="M223" t="s">
        <v>18</v>
      </c>
      <c r="N223" t="s">
        <v>9</v>
      </c>
      <c r="O223">
        <v>1</v>
      </c>
      <c r="P223">
        <v>25500</v>
      </c>
      <c r="Q223">
        <v>25500</v>
      </c>
      <c r="R223">
        <v>0</v>
      </c>
      <c r="S223">
        <v>0</v>
      </c>
      <c r="T223">
        <v>1500</v>
      </c>
      <c r="U223">
        <v>2200</v>
      </c>
      <c r="V223">
        <v>382.5</v>
      </c>
      <c r="W223">
        <v>25500</v>
      </c>
      <c r="X223">
        <v>14025</v>
      </c>
      <c r="Y223">
        <v>10392.5</v>
      </c>
      <c r="Z223">
        <f t="shared" si="12"/>
        <v>2025</v>
      </c>
      <c r="AA223" t="str">
        <f t="shared" si="13"/>
        <v>December</v>
      </c>
      <c r="AB223">
        <f t="shared" si="14"/>
        <v>12</v>
      </c>
      <c r="AC223" t="str">
        <f t="shared" si="15"/>
        <v>Q4</v>
      </c>
    </row>
    <row r="224" spans="1:29" x14ac:dyDescent="0.35">
      <c r="A224" t="s">
        <v>277</v>
      </c>
      <c r="B224" s="3">
        <v>45755</v>
      </c>
      <c r="C224" s="3">
        <v>45757</v>
      </c>
      <c r="D224" t="s">
        <v>1</v>
      </c>
      <c r="E224" t="s">
        <v>30</v>
      </c>
      <c r="F224" t="s">
        <v>13</v>
      </c>
      <c r="G224" t="s">
        <v>14</v>
      </c>
      <c r="H224" t="str" cm="1">
        <f t="array" ref="H224">_xlfn.IFS(
OR(G224="Abuja",G224="Fct",G224="Abj"),"Abuja Municipal",
G224="Lagos","Ikeja",
G224="Oyo","Ibadan",
G224="Kano","Kano Municipal",
G224="Enugu","Enugu North",
G224="Rivers","Port Harcourt"
)</f>
        <v>Ibadan</v>
      </c>
      <c r="I224" t="s">
        <v>86</v>
      </c>
      <c r="J224" t="s">
        <v>87</v>
      </c>
      <c r="K224" t="s">
        <v>23</v>
      </c>
      <c r="L224" t="s">
        <v>32</v>
      </c>
      <c r="M224" t="s">
        <v>24</v>
      </c>
      <c r="N224" t="s">
        <v>9</v>
      </c>
      <c r="O224">
        <v>4</v>
      </c>
      <c r="P224">
        <v>120000</v>
      </c>
      <c r="Q224">
        <v>480000</v>
      </c>
      <c r="R224">
        <v>0.05</v>
      </c>
      <c r="S224">
        <v>24000</v>
      </c>
      <c r="T224">
        <v>3500</v>
      </c>
      <c r="U224">
        <v>1500</v>
      </c>
      <c r="V224">
        <v>7200</v>
      </c>
      <c r="W224">
        <v>456000</v>
      </c>
      <c r="X224">
        <v>250800</v>
      </c>
      <c r="Y224">
        <v>200000</v>
      </c>
      <c r="Z224">
        <f t="shared" si="12"/>
        <v>2025</v>
      </c>
      <c r="AA224" t="str">
        <f t="shared" si="13"/>
        <v>April</v>
      </c>
      <c r="AB224">
        <f t="shared" si="14"/>
        <v>4</v>
      </c>
      <c r="AC224" t="str">
        <f t="shared" si="15"/>
        <v>Q2</v>
      </c>
    </row>
    <row r="225" spans="1:29" x14ac:dyDescent="0.35">
      <c r="A225" t="s">
        <v>278</v>
      </c>
      <c r="B225" s="3">
        <v>45924</v>
      </c>
      <c r="C225" s="3">
        <v>45930</v>
      </c>
      <c r="D225" t="s">
        <v>33</v>
      </c>
      <c r="E225" t="s">
        <v>39</v>
      </c>
      <c r="F225" t="s">
        <v>13</v>
      </c>
      <c r="G225" t="s">
        <v>14</v>
      </c>
      <c r="H225" t="str" cm="1">
        <f t="array" ref="H225">_xlfn.IFS(
OR(G225="Abuja",G225="Fct",G225="Abj"),"Abuja Municipal",
G225="Lagos","Ikeja",
G225="Oyo","Ibadan",
G225="Kano","Kano Municipal",
G225="Enugu","Enugu North",
G225="Rivers","Port Harcourt"
)</f>
        <v>Ibadan</v>
      </c>
      <c r="I225" t="s">
        <v>86</v>
      </c>
      <c r="J225" t="s">
        <v>87</v>
      </c>
      <c r="K225" t="s">
        <v>23</v>
      </c>
      <c r="L225" t="s">
        <v>28</v>
      </c>
      <c r="M225" t="s">
        <v>24</v>
      </c>
      <c r="N225" t="s">
        <v>9</v>
      </c>
      <c r="O225">
        <v>1</v>
      </c>
      <c r="P225">
        <v>78000</v>
      </c>
      <c r="Q225">
        <v>78000</v>
      </c>
      <c r="R225">
        <v>0.15</v>
      </c>
      <c r="S225">
        <v>11700</v>
      </c>
      <c r="T225">
        <v>2000</v>
      </c>
      <c r="U225">
        <v>3200</v>
      </c>
      <c r="V225">
        <v>1170</v>
      </c>
      <c r="W225">
        <v>66300</v>
      </c>
      <c r="X225">
        <v>46410</v>
      </c>
      <c r="Y225">
        <v>17520</v>
      </c>
      <c r="Z225">
        <f t="shared" si="12"/>
        <v>2025</v>
      </c>
      <c r="AA225" t="str">
        <f t="shared" si="13"/>
        <v>September</v>
      </c>
      <c r="AB225">
        <f t="shared" si="14"/>
        <v>9</v>
      </c>
      <c r="AC225" t="str">
        <f t="shared" si="15"/>
        <v>Q3</v>
      </c>
    </row>
    <row r="226" spans="1:29" x14ac:dyDescent="0.35">
      <c r="A226" t="s">
        <v>279</v>
      </c>
      <c r="B226" s="3">
        <v>45762</v>
      </c>
      <c r="C226" s="3">
        <v>45764</v>
      </c>
      <c r="D226" t="s">
        <v>38</v>
      </c>
      <c r="E226" t="s">
        <v>30</v>
      </c>
      <c r="F226" t="s">
        <v>13</v>
      </c>
      <c r="G226" t="s">
        <v>14</v>
      </c>
      <c r="H226" t="str" cm="1">
        <f t="array" ref="H226">_xlfn.IFS(
OR(G226="Abuja",G226="Fct",G226="Abj"),"Abuja Municipal",
G226="Lagos","Ikeja",
G226="Oyo","Ibadan",
G226="Kano","Kano Municipal",
G226="Enugu","Enugu North",
G226="Rivers","Port Harcourt"
)</f>
        <v>Ibadan</v>
      </c>
      <c r="I226" t="s">
        <v>49</v>
      </c>
      <c r="J226" t="s">
        <v>50</v>
      </c>
      <c r="K226" t="s">
        <v>42</v>
      </c>
      <c r="L226" t="s">
        <v>8</v>
      </c>
      <c r="M226" t="s">
        <v>24</v>
      </c>
      <c r="N226" t="s">
        <v>9</v>
      </c>
      <c r="O226">
        <v>1</v>
      </c>
      <c r="P226">
        <v>6500</v>
      </c>
      <c r="Q226">
        <v>6500</v>
      </c>
      <c r="R226">
        <v>0.2</v>
      </c>
      <c r="S226">
        <v>1300</v>
      </c>
      <c r="T226">
        <v>3500</v>
      </c>
      <c r="U226">
        <v>1000</v>
      </c>
      <c r="V226">
        <v>97.5</v>
      </c>
      <c r="W226">
        <v>5200</v>
      </c>
      <c r="X226">
        <v>3120</v>
      </c>
      <c r="Y226">
        <v>4482.5</v>
      </c>
      <c r="Z226">
        <f t="shared" si="12"/>
        <v>2025</v>
      </c>
      <c r="AA226" t="str">
        <f t="shared" si="13"/>
        <v>April</v>
      </c>
      <c r="AB226">
        <f t="shared" si="14"/>
        <v>4</v>
      </c>
      <c r="AC226" t="str">
        <f t="shared" si="15"/>
        <v>Q2</v>
      </c>
    </row>
    <row r="227" spans="1:29" x14ac:dyDescent="0.35">
      <c r="A227" t="s">
        <v>280</v>
      </c>
      <c r="B227" s="3">
        <v>45980</v>
      </c>
      <c r="C227" s="3">
        <v>45986</v>
      </c>
      <c r="D227" t="s">
        <v>1</v>
      </c>
      <c r="E227" t="s">
        <v>39</v>
      </c>
      <c r="F227" t="s">
        <v>13</v>
      </c>
      <c r="G227" t="s">
        <v>4</v>
      </c>
      <c r="H227" t="str" cm="1">
        <f t="array" ref="H227">_xlfn.IFS(
OR(G227="Abuja",G227="Fct",G227="Abj"),"Abuja Municipal",
G227="Lagos","Ikeja",
G227="Oyo","Ibadan",
G227="Kano","Kano Municipal",
G227="Enugu","Enugu North",
G227="Rivers","Port Harcourt"
)</f>
        <v>Enugu North</v>
      </c>
      <c r="I227" t="s">
        <v>15</v>
      </c>
      <c r="J227" t="s">
        <v>16</v>
      </c>
      <c r="K227" t="s">
        <v>17</v>
      </c>
      <c r="L227" t="s">
        <v>32</v>
      </c>
      <c r="M227" t="s">
        <v>18</v>
      </c>
      <c r="N227" t="s">
        <v>9</v>
      </c>
      <c r="O227">
        <v>3</v>
      </c>
      <c r="P227">
        <v>18500</v>
      </c>
      <c r="Q227">
        <v>55500</v>
      </c>
      <c r="R227">
        <v>0</v>
      </c>
      <c r="S227">
        <v>0</v>
      </c>
      <c r="T227">
        <v>3000</v>
      </c>
      <c r="U227">
        <v>2800</v>
      </c>
      <c r="V227">
        <v>832.5</v>
      </c>
      <c r="W227">
        <v>55500</v>
      </c>
      <c r="X227">
        <v>33300</v>
      </c>
      <c r="Y227">
        <v>21567.5</v>
      </c>
      <c r="Z227">
        <f t="shared" si="12"/>
        <v>2025</v>
      </c>
      <c r="AA227" t="str">
        <f t="shared" si="13"/>
        <v>November</v>
      </c>
      <c r="AB227">
        <f t="shared" si="14"/>
        <v>11</v>
      </c>
      <c r="AC227" t="str">
        <f t="shared" si="15"/>
        <v>Q4</v>
      </c>
    </row>
    <row r="228" spans="1:29" x14ac:dyDescent="0.35">
      <c r="A228" t="s">
        <v>281</v>
      </c>
      <c r="B228" s="3">
        <v>45780</v>
      </c>
      <c r="C228" s="3">
        <v>45787</v>
      </c>
      <c r="D228" t="s">
        <v>33</v>
      </c>
      <c r="E228" t="s">
        <v>12</v>
      </c>
      <c r="F228" t="s">
        <v>13</v>
      </c>
      <c r="G228" t="s">
        <v>27</v>
      </c>
      <c r="H228" t="str" cm="1">
        <f t="array" ref="H228">_xlfn.IFS(
OR(G228="Abuja",G228="Fct",G228="Abj"),"Abuja Municipal",
G228="Lagos","Ikeja",
G228="Oyo","Ibadan",
G228="Kano","Kano Municipal",
G228="Enugu","Enugu North",
G228="Rivers","Port Harcourt"
)</f>
        <v>Port Harcourt</v>
      </c>
      <c r="I228" t="s">
        <v>56</v>
      </c>
      <c r="J228" t="s">
        <v>57</v>
      </c>
      <c r="K228" t="s">
        <v>17</v>
      </c>
      <c r="L228" t="s">
        <v>28</v>
      </c>
      <c r="M228" t="s">
        <v>303</v>
      </c>
      <c r="N228" t="s">
        <v>9</v>
      </c>
      <c r="O228">
        <v>5</v>
      </c>
      <c r="P228">
        <v>18500</v>
      </c>
      <c r="Q228">
        <v>92500</v>
      </c>
      <c r="R228">
        <v>0.05</v>
      </c>
      <c r="S228">
        <v>4625</v>
      </c>
      <c r="T228">
        <v>2000</v>
      </c>
      <c r="U228">
        <v>1800</v>
      </c>
      <c r="V228">
        <v>1387.5</v>
      </c>
      <c r="W228">
        <v>87875</v>
      </c>
      <c r="X228">
        <v>57118.75</v>
      </c>
      <c r="Y228">
        <v>29568.75</v>
      </c>
      <c r="Z228">
        <f t="shared" si="12"/>
        <v>2025</v>
      </c>
      <c r="AA228" t="str">
        <f t="shared" si="13"/>
        <v>May</v>
      </c>
      <c r="AB228">
        <f t="shared" si="14"/>
        <v>5</v>
      </c>
      <c r="AC228" t="str">
        <f t="shared" si="15"/>
        <v>Q2</v>
      </c>
    </row>
    <row r="229" spans="1:29" x14ac:dyDescent="0.35">
      <c r="A229" t="s">
        <v>282</v>
      </c>
      <c r="B229" s="3">
        <v>45686</v>
      </c>
      <c r="C229" s="3">
        <v>45693</v>
      </c>
      <c r="D229" t="s">
        <v>75</v>
      </c>
      <c r="E229" t="s">
        <v>2</v>
      </c>
      <c r="F229" t="s">
        <v>3</v>
      </c>
      <c r="G229" t="s">
        <v>35</v>
      </c>
      <c r="H229" t="str" cm="1">
        <f t="array" ref="H229">_xlfn.IFS(
OR(G229="Abuja",G229="Fct",G229="Abj"),"Abuja Municipal",
G229="Lagos","Ikeja",
G229="Oyo","Ibadan",
G229="Kano","Kano Municipal",
G229="Enugu","Enugu North",
G229="Rivers","Port Harcourt"
)</f>
        <v>Abuja Municipal</v>
      </c>
      <c r="I229" t="s">
        <v>49</v>
      </c>
      <c r="J229" t="s">
        <v>50</v>
      </c>
      <c r="K229" t="s">
        <v>42</v>
      </c>
      <c r="L229" t="s">
        <v>28</v>
      </c>
      <c r="M229" t="s">
        <v>18</v>
      </c>
      <c r="N229" t="s">
        <v>36</v>
      </c>
      <c r="O229">
        <v>5</v>
      </c>
      <c r="P229">
        <v>32000</v>
      </c>
      <c r="Q229">
        <v>160000</v>
      </c>
      <c r="R229">
        <v>0.05</v>
      </c>
      <c r="S229">
        <v>8000</v>
      </c>
      <c r="T229">
        <v>3000</v>
      </c>
      <c r="U229">
        <v>2200</v>
      </c>
      <c r="V229">
        <v>2400</v>
      </c>
      <c r="W229">
        <v>152000</v>
      </c>
      <c r="X229">
        <v>106400</v>
      </c>
      <c r="Y229">
        <v>44000</v>
      </c>
      <c r="Z229">
        <f t="shared" si="12"/>
        <v>2025</v>
      </c>
      <c r="AA229" t="str">
        <f t="shared" si="13"/>
        <v>January</v>
      </c>
      <c r="AB229">
        <f t="shared" si="14"/>
        <v>1</v>
      </c>
      <c r="AC229" t="str">
        <f t="shared" si="15"/>
        <v>Q1</v>
      </c>
    </row>
    <row r="230" spans="1:29" x14ac:dyDescent="0.35">
      <c r="A230" t="s">
        <v>283</v>
      </c>
      <c r="B230" s="3">
        <v>45794</v>
      </c>
      <c r="C230" s="3">
        <v>45800</v>
      </c>
      <c r="D230" t="s">
        <v>11</v>
      </c>
      <c r="E230" t="s">
        <v>52</v>
      </c>
      <c r="F230" t="s">
        <v>3</v>
      </c>
      <c r="G230" t="s">
        <v>35</v>
      </c>
      <c r="H230" t="str" cm="1">
        <f t="array" ref="H230">_xlfn.IFS(
OR(G230="Abuja",G230="Fct",G230="Abj"),"Abuja Municipal",
G230="Lagos","Ikeja",
G230="Oyo","Ibadan",
G230="Kano","Kano Municipal",
G230="Enugu","Enugu North",
G230="Rivers","Port Harcourt"
)</f>
        <v>Abuja Municipal</v>
      </c>
      <c r="I230" t="s">
        <v>59</v>
      </c>
      <c r="J230" t="s">
        <v>60</v>
      </c>
      <c r="K230" t="s">
        <v>42</v>
      </c>
      <c r="L230" t="s">
        <v>32</v>
      </c>
      <c r="M230" t="s">
        <v>18</v>
      </c>
      <c r="N230" t="s">
        <v>9</v>
      </c>
      <c r="O230">
        <v>1</v>
      </c>
      <c r="P230">
        <v>6500</v>
      </c>
      <c r="Q230">
        <v>6500</v>
      </c>
      <c r="R230">
        <v>0.05</v>
      </c>
      <c r="S230">
        <v>325</v>
      </c>
      <c r="T230">
        <v>2000</v>
      </c>
      <c r="U230">
        <v>1500</v>
      </c>
      <c r="V230">
        <v>97.5</v>
      </c>
      <c r="W230">
        <v>6175</v>
      </c>
      <c r="X230">
        <v>4013.75</v>
      </c>
      <c r="Y230">
        <v>2563.75</v>
      </c>
      <c r="Z230">
        <f t="shared" si="12"/>
        <v>2025</v>
      </c>
      <c r="AA230" t="str">
        <f t="shared" si="13"/>
        <v>May</v>
      </c>
      <c r="AB230">
        <f t="shared" si="14"/>
        <v>5</v>
      </c>
      <c r="AC230" t="str">
        <f t="shared" si="15"/>
        <v>Q2</v>
      </c>
    </row>
    <row r="231" spans="1:29" x14ac:dyDescent="0.35">
      <c r="A231" t="s">
        <v>284</v>
      </c>
      <c r="B231" s="3">
        <v>45852</v>
      </c>
      <c r="C231" s="3">
        <v>45855</v>
      </c>
      <c r="D231" t="s">
        <v>71</v>
      </c>
      <c r="E231" t="s">
        <v>39</v>
      </c>
      <c r="F231" t="s">
        <v>3</v>
      </c>
      <c r="G231" t="s">
        <v>14</v>
      </c>
      <c r="H231" t="str" cm="1">
        <f t="array" ref="H231">_xlfn.IFS(
OR(G231="Abuja",G231="Fct",G231="Abj"),"Abuja Municipal",
G231="Lagos","Ikeja",
G231="Oyo","Ibadan",
G231="Kano","Kano Municipal",
G231="Enugu","Enugu North",
G231="Rivers","Port Harcourt"
)</f>
        <v>Ibadan</v>
      </c>
      <c r="I231" t="s">
        <v>59</v>
      </c>
      <c r="J231" t="s">
        <v>60</v>
      </c>
      <c r="K231" t="s">
        <v>42</v>
      </c>
      <c r="L231" t="s">
        <v>32</v>
      </c>
      <c r="M231" t="s">
        <v>18</v>
      </c>
      <c r="N231" t="s">
        <v>9</v>
      </c>
      <c r="O231">
        <v>2</v>
      </c>
      <c r="P231">
        <v>15000</v>
      </c>
      <c r="Q231">
        <v>30000</v>
      </c>
      <c r="R231">
        <v>0.15</v>
      </c>
      <c r="S231">
        <v>4500</v>
      </c>
      <c r="T231">
        <v>2500</v>
      </c>
      <c r="U231">
        <v>1000</v>
      </c>
      <c r="V231">
        <v>450</v>
      </c>
      <c r="W231">
        <v>25500</v>
      </c>
      <c r="X231">
        <v>17850</v>
      </c>
      <c r="Y231">
        <v>8700</v>
      </c>
      <c r="Z231">
        <f t="shared" si="12"/>
        <v>2025</v>
      </c>
      <c r="AA231" t="str">
        <f t="shared" si="13"/>
        <v>July</v>
      </c>
      <c r="AB231">
        <f t="shared" si="14"/>
        <v>7</v>
      </c>
      <c r="AC231" t="str">
        <f t="shared" si="15"/>
        <v>Q3</v>
      </c>
    </row>
    <row r="232" spans="1:29" x14ac:dyDescent="0.35">
      <c r="A232" t="s">
        <v>285</v>
      </c>
      <c r="B232" s="3">
        <v>45883</v>
      </c>
      <c r="C232" s="3">
        <v>45888</v>
      </c>
      <c r="D232" t="s">
        <v>65</v>
      </c>
      <c r="E232" t="s">
        <v>2</v>
      </c>
      <c r="F232" t="s">
        <v>3</v>
      </c>
      <c r="G232" t="s">
        <v>53</v>
      </c>
      <c r="H232" t="str" cm="1">
        <f t="array" ref="H232">_xlfn.IFS(
OR(G232="Abuja",G232="Fct",G232="Abj"),"Abuja Municipal",
G232="Lagos","Ikeja",
G232="Oyo","Ibadan",
G232="Kano","Kano Municipal",
G232="Enugu","Enugu North",
G232="Rivers","Port Harcourt"
)</f>
        <v>Ikeja</v>
      </c>
      <c r="I232" t="s">
        <v>49</v>
      </c>
      <c r="J232" t="s">
        <v>50</v>
      </c>
      <c r="K232" t="s">
        <v>42</v>
      </c>
      <c r="L232" t="s">
        <v>32</v>
      </c>
      <c r="M232" t="s">
        <v>18</v>
      </c>
      <c r="N232" t="s">
        <v>9</v>
      </c>
      <c r="O232">
        <v>4</v>
      </c>
      <c r="P232">
        <v>45000</v>
      </c>
      <c r="Q232">
        <v>180000</v>
      </c>
      <c r="R232">
        <v>0.2</v>
      </c>
      <c r="S232">
        <v>36000</v>
      </c>
      <c r="T232">
        <v>1500</v>
      </c>
      <c r="U232">
        <v>1800</v>
      </c>
      <c r="V232">
        <v>2700</v>
      </c>
      <c r="W232">
        <v>144000</v>
      </c>
      <c r="X232">
        <v>86400</v>
      </c>
      <c r="Y232">
        <v>54600</v>
      </c>
      <c r="Z232">
        <f t="shared" si="12"/>
        <v>2025</v>
      </c>
      <c r="AA232" t="str">
        <f t="shared" si="13"/>
        <v>August</v>
      </c>
      <c r="AB232">
        <f t="shared" si="14"/>
        <v>8</v>
      </c>
      <c r="AC232" t="str">
        <f t="shared" si="15"/>
        <v>Q3</v>
      </c>
    </row>
    <row r="233" spans="1:29" x14ac:dyDescent="0.35">
      <c r="A233" t="s">
        <v>286</v>
      </c>
      <c r="B233" s="3">
        <v>45989</v>
      </c>
      <c r="C233" s="3">
        <v>45990</v>
      </c>
      <c r="D233" t="s">
        <v>71</v>
      </c>
      <c r="E233" t="s">
        <v>55</v>
      </c>
      <c r="F233" t="s">
        <v>13</v>
      </c>
      <c r="G233" t="s">
        <v>4</v>
      </c>
      <c r="H233" t="str" cm="1">
        <f t="array" ref="H233">_xlfn.IFS(
OR(G233="Abuja",G233="Fct",G233="Abj"),"Abuja Municipal",
G233="Lagos","Ikeja",
G233="Oyo","Ibadan",
G233="Kano","Kano Municipal",
G233="Enugu","Enugu North",
G233="Rivers","Port Harcourt"
)</f>
        <v>Enugu North</v>
      </c>
      <c r="I233" t="s">
        <v>86</v>
      </c>
      <c r="J233" t="s">
        <v>87</v>
      </c>
      <c r="K233" t="s">
        <v>23</v>
      </c>
      <c r="L233" t="s">
        <v>28</v>
      </c>
      <c r="M233" t="s">
        <v>18</v>
      </c>
      <c r="N233" t="s">
        <v>9</v>
      </c>
      <c r="O233">
        <v>2</v>
      </c>
      <c r="P233">
        <v>120000</v>
      </c>
      <c r="Q233">
        <v>240000</v>
      </c>
      <c r="R233">
        <v>0.15</v>
      </c>
      <c r="S233">
        <v>36000</v>
      </c>
      <c r="T233">
        <v>1500</v>
      </c>
      <c r="U233">
        <v>1500</v>
      </c>
      <c r="V233">
        <v>3600</v>
      </c>
      <c r="W233">
        <v>204000</v>
      </c>
      <c r="X233">
        <v>112200</v>
      </c>
      <c r="Y233">
        <v>88200</v>
      </c>
      <c r="Z233">
        <f t="shared" si="12"/>
        <v>2025</v>
      </c>
      <c r="AA233" t="str">
        <f t="shared" si="13"/>
        <v>November</v>
      </c>
      <c r="AB233">
        <f t="shared" si="14"/>
        <v>11</v>
      </c>
      <c r="AC233" t="str">
        <f t="shared" si="15"/>
        <v>Q4</v>
      </c>
    </row>
    <row r="234" spans="1:29" x14ac:dyDescent="0.35">
      <c r="A234" t="s">
        <v>287</v>
      </c>
      <c r="B234" s="3">
        <v>45827</v>
      </c>
      <c r="C234" s="3">
        <v>45828</v>
      </c>
      <c r="D234" t="s">
        <v>26</v>
      </c>
      <c r="E234" t="s">
        <v>48</v>
      </c>
      <c r="F234" t="s">
        <v>44</v>
      </c>
      <c r="G234" t="s">
        <v>31</v>
      </c>
      <c r="H234" t="str" cm="1">
        <f t="array" ref="H234">_xlfn.IFS(
OR(G234="Abuja",G234="Fct",G234="Abj"),"Abuja Municipal",
G234="Lagos","Ikeja",
G234="Oyo","Ibadan",
G234="Kano","Kano Municipal",
G234="Enugu","Enugu North",
G234="Rivers","Port Harcourt"
)</f>
        <v>Kano Municipal</v>
      </c>
      <c r="I234" t="s">
        <v>59</v>
      </c>
      <c r="J234" t="s">
        <v>60</v>
      </c>
      <c r="K234" t="s">
        <v>42</v>
      </c>
      <c r="L234" t="s">
        <v>32</v>
      </c>
      <c r="M234" t="s">
        <v>303</v>
      </c>
      <c r="N234" t="s">
        <v>9</v>
      </c>
      <c r="O234">
        <v>2</v>
      </c>
      <c r="P234">
        <v>32000</v>
      </c>
      <c r="Q234">
        <v>64000</v>
      </c>
      <c r="R234">
        <v>0.1</v>
      </c>
      <c r="S234">
        <v>6400</v>
      </c>
      <c r="T234">
        <v>3000</v>
      </c>
      <c r="U234">
        <v>1500</v>
      </c>
      <c r="V234">
        <v>960</v>
      </c>
      <c r="W234">
        <v>57600</v>
      </c>
      <c r="X234">
        <v>31680</v>
      </c>
      <c r="Y234">
        <v>26460</v>
      </c>
      <c r="Z234">
        <f t="shared" si="12"/>
        <v>2025</v>
      </c>
      <c r="AA234" t="str">
        <f t="shared" si="13"/>
        <v>June</v>
      </c>
      <c r="AB234">
        <f t="shared" si="14"/>
        <v>6</v>
      </c>
      <c r="AC234" t="str">
        <f t="shared" si="15"/>
        <v>Q2</v>
      </c>
    </row>
    <row r="235" spans="1:29" x14ac:dyDescent="0.35">
      <c r="A235" t="s">
        <v>288</v>
      </c>
      <c r="B235" s="3">
        <v>45666</v>
      </c>
      <c r="C235" s="3">
        <v>45670</v>
      </c>
      <c r="D235" t="s">
        <v>26</v>
      </c>
      <c r="E235" t="s">
        <v>55</v>
      </c>
      <c r="F235" t="s">
        <v>44</v>
      </c>
      <c r="G235" t="s">
        <v>53</v>
      </c>
      <c r="H235" t="str" cm="1">
        <f t="array" ref="H235">_xlfn.IFS(
OR(G235="Abuja",G235="Fct",G235="Abj"),"Abuja Municipal",
G235="Lagos","Ikeja",
G235="Oyo","Ibadan",
G235="Kano","Kano Municipal",
G235="Enugu","Enugu North",
G235="Rivers","Port Harcourt"
)</f>
        <v>Ikeja</v>
      </c>
      <c r="I235" t="s">
        <v>5</v>
      </c>
      <c r="J235" t="s">
        <v>6</v>
      </c>
      <c r="K235" t="s">
        <v>7</v>
      </c>
      <c r="L235" t="s">
        <v>28</v>
      </c>
      <c r="M235" t="s">
        <v>18</v>
      </c>
      <c r="N235" t="s">
        <v>9</v>
      </c>
      <c r="O235">
        <v>1</v>
      </c>
      <c r="P235">
        <v>45000</v>
      </c>
      <c r="Q235">
        <v>45000</v>
      </c>
      <c r="R235">
        <v>0.05</v>
      </c>
      <c r="S235">
        <v>2250</v>
      </c>
      <c r="T235">
        <v>1500</v>
      </c>
      <c r="U235">
        <v>1800</v>
      </c>
      <c r="V235">
        <v>675</v>
      </c>
      <c r="W235">
        <v>42750</v>
      </c>
      <c r="X235">
        <v>23512.5</v>
      </c>
      <c r="Y235">
        <v>18262.5</v>
      </c>
      <c r="Z235">
        <f t="shared" si="12"/>
        <v>2025</v>
      </c>
      <c r="AA235" t="str">
        <f t="shared" si="13"/>
        <v>January</v>
      </c>
      <c r="AB235">
        <f t="shared" si="14"/>
        <v>1</v>
      </c>
      <c r="AC235" t="str">
        <f t="shared" si="15"/>
        <v>Q1</v>
      </c>
    </row>
    <row r="236" spans="1:29" x14ac:dyDescent="0.35">
      <c r="A236" t="s">
        <v>289</v>
      </c>
      <c r="B236" s="3">
        <v>45697</v>
      </c>
      <c r="C236" s="3">
        <v>45703</v>
      </c>
      <c r="D236" t="s">
        <v>1</v>
      </c>
      <c r="E236" t="s">
        <v>12</v>
      </c>
      <c r="F236" t="s">
        <v>13</v>
      </c>
      <c r="G236" t="s">
        <v>53</v>
      </c>
      <c r="H236" t="str" cm="1">
        <f t="array" ref="H236">_xlfn.IFS(
OR(G236="Abuja",G236="Fct",G236="Abj"),"Abuja Municipal",
G236="Lagos","Ikeja",
G236="Oyo","Ibadan",
G236="Kano","Kano Municipal",
G236="Enugu","Enugu North",
G236="Rivers","Port Harcourt"
)</f>
        <v>Ikeja</v>
      </c>
      <c r="I236" t="s">
        <v>21</v>
      </c>
      <c r="J236" t="s">
        <v>22</v>
      </c>
      <c r="K236" t="s">
        <v>23</v>
      </c>
      <c r="L236" t="s">
        <v>32</v>
      </c>
      <c r="M236" t="s">
        <v>24</v>
      </c>
      <c r="N236" t="s">
        <v>9</v>
      </c>
      <c r="O236">
        <v>1</v>
      </c>
      <c r="P236">
        <v>25500</v>
      </c>
      <c r="Q236">
        <v>25500</v>
      </c>
      <c r="R236">
        <v>0.1</v>
      </c>
      <c r="S236">
        <v>2550</v>
      </c>
      <c r="T236">
        <v>3000</v>
      </c>
      <c r="U236">
        <v>1000</v>
      </c>
      <c r="V236">
        <v>382.5</v>
      </c>
      <c r="W236">
        <v>22950</v>
      </c>
      <c r="X236">
        <v>12622.5</v>
      </c>
      <c r="Y236">
        <v>11945</v>
      </c>
      <c r="Z236">
        <f t="shared" si="12"/>
        <v>2025</v>
      </c>
      <c r="AA236" t="str">
        <f t="shared" si="13"/>
        <v>February</v>
      </c>
      <c r="AB236">
        <f t="shared" si="14"/>
        <v>2</v>
      </c>
      <c r="AC236" t="str">
        <f t="shared" si="15"/>
        <v>Q1</v>
      </c>
    </row>
    <row r="237" spans="1:29" x14ac:dyDescent="0.35">
      <c r="A237" t="s">
        <v>290</v>
      </c>
      <c r="B237" s="3">
        <v>45682</v>
      </c>
      <c r="C237" s="3">
        <v>45683</v>
      </c>
      <c r="D237" t="s">
        <v>75</v>
      </c>
      <c r="E237" t="s">
        <v>30</v>
      </c>
      <c r="F237" t="s">
        <v>44</v>
      </c>
      <c r="G237" t="s">
        <v>53</v>
      </c>
      <c r="H237" t="str" cm="1">
        <f t="array" ref="H237">_xlfn.IFS(
OR(G237="Abuja",G237="Fct",G237="Abj"),"Abuja Municipal",
G237="Lagos","Ikeja",
G237="Oyo","Ibadan",
G237="Kano","Kano Municipal",
G237="Enugu","Enugu North",
G237="Rivers","Port Harcourt"
)</f>
        <v>Ikeja</v>
      </c>
      <c r="I237" t="s">
        <v>21</v>
      </c>
      <c r="J237" t="s">
        <v>22</v>
      </c>
      <c r="K237" t="s">
        <v>23</v>
      </c>
      <c r="L237" t="s">
        <v>28</v>
      </c>
      <c r="M237" t="s">
        <v>24</v>
      </c>
      <c r="N237" t="s">
        <v>9</v>
      </c>
      <c r="O237">
        <v>1</v>
      </c>
      <c r="P237">
        <v>120000</v>
      </c>
      <c r="Q237">
        <v>120000</v>
      </c>
      <c r="R237">
        <v>0</v>
      </c>
      <c r="S237">
        <v>0</v>
      </c>
      <c r="T237">
        <v>3000</v>
      </c>
      <c r="U237">
        <v>3200</v>
      </c>
      <c r="V237">
        <v>1800</v>
      </c>
      <c r="W237">
        <v>120000</v>
      </c>
      <c r="X237">
        <v>66000</v>
      </c>
      <c r="Y237">
        <v>52000</v>
      </c>
      <c r="Z237">
        <f t="shared" si="12"/>
        <v>2025</v>
      </c>
      <c r="AA237" t="str">
        <f t="shared" si="13"/>
        <v>January</v>
      </c>
      <c r="AB237">
        <f t="shared" si="14"/>
        <v>1</v>
      </c>
      <c r="AC237" t="str">
        <f t="shared" si="15"/>
        <v>Q1</v>
      </c>
    </row>
    <row r="238" spans="1:29" x14ac:dyDescent="0.35">
      <c r="A238" t="s">
        <v>291</v>
      </c>
      <c r="B238" s="3">
        <v>45918</v>
      </c>
      <c r="C238" s="3">
        <v>45921</v>
      </c>
      <c r="D238" t="s">
        <v>75</v>
      </c>
      <c r="E238" t="s">
        <v>30</v>
      </c>
      <c r="F238" t="s">
        <v>44</v>
      </c>
      <c r="G238" t="s">
        <v>53</v>
      </c>
      <c r="H238" t="str" cm="1">
        <f t="array" ref="H238">_xlfn.IFS(
OR(G238="Abuja",G238="Fct",G238="Abj"),"Abuja Municipal",
G238="Lagos","Ikeja",
G238="Oyo","Ibadan",
G238="Kano","Kano Municipal",
G238="Enugu","Enugu North",
G238="Rivers","Port Harcourt"
)</f>
        <v>Ikeja</v>
      </c>
      <c r="I238" t="s">
        <v>5</v>
      </c>
      <c r="J238" t="s">
        <v>6</v>
      </c>
      <c r="K238" t="s">
        <v>7</v>
      </c>
      <c r="L238" t="s">
        <v>28</v>
      </c>
      <c r="M238" t="s">
        <v>18</v>
      </c>
      <c r="N238" t="s">
        <v>9</v>
      </c>
      <c r="O238">
        <v>1</v>
      </c>
      <c r="P238">
        <v>25500</v>
      </c>
      <c r="Q238">
        <v>25500</v>
      </c>
      <c r="R238">
        <v>0</v>
      </c>
      <c r="S238">
        <v>0</v>
      </c>
      <c r="T238">
        <v>3000</v>
      </c>
      <c r="U238">
        <v>1000</v>
      </c>
      <c r="V238">
        <v>382.5</v>
      </c>
      <c r="W238">
        <v>25500</v>
      </c>
      <c r="X238">
        <v>16575</v>
      </c>
      <c r="Y238">
        <v>10542.5</v>
      </c>
      <c r="Z238">
        <f t="shared" si="12"/>
        <v>2025</v>
      </c>
      <c r="AA238" t="str">
        <f t="shared" si="13"/>
        <v>September</v>
      </c>
      <c r="AB238">
        <f t="shared" si="14"/>
        <v>9</v>
      </c>
      <c r="AC238" t="str">
        <f t="shared" si="15"/>
        <v>Q3</v>
      </c>
    </row>
    <row r="239" spans="1:29" x14ac:dyDescent="0.35">
      <c r="A239" t="s">
        <v>292</v>
      </c>
      <c r="B239" s="3">
        <v>45883</v>
      </c>
      <c r="C239" s="3">
        <v>45889</v>
      </c>
      <c r="D239" t="s">
        <v>38</v>
      </c>
      <c r="E239" t="s">
        <v>34</v>
      </c>
      <c r="F239" t="s">
        <v>3</v>
      </c>
      <c r="G239" t="s">
        <v>14</v>
      </c>
      <c r="H239" t="str" cm="1">
        <f t="array" ref="H239">_xlfn.IFS(
OR(G239="Abuja",G239="Fct",G239="Abj"),"Abuja Municipal",
G239="Lagos","Ikeja",
G239="Oyo","Ibadan",
G239="Kano","Kano Municipal",
G239="Enugu","Enugu North",
G239="Rivers","Port Harcourt"
)</f>
        <v>Ibadan</v>
      </c>
      <c r="I239" t="s">
        <v>49</v>
      </c>
      <c r="J239" t="s">
        <v>50</v>
      </c>
      <c r="K239" t="s">
        <v>42</v>
      </c>
      <c r="L239" t="s">
        <v>8</v>
      </c>
      <c r="M239" t="s">
        <v>24</v>
      </c>
      <c r="N239" t="s">
        <v>9</v>
      </c>
      <c r="O239">
        <v>5</v>
      </c>
      <c r="P239">
        <v>15000</v>
      </c>
      <c r="Q239">
        <v>75000</v>
      </c>
      <c r="R239">
        <v>0.15</v>
      </c>
      <c r="S239">
        <v>11250</v>
      </c>
      <c r="T239">
        <v>1500</v>
      </c>
      <c r="U239">
        <v>2800</v>
      </c>
      <c r="V239">
        <v>1125</v>
      </c>
      <c r="W239">
        <v>63750</v>
      </c>
      <c r="X239">
        <v>44625</v>
      </c>
      <c r="Y239">
        <v>16700</v>
      </c>
      <c r="Z239">
        <f t="shared" si="12"/>
        <v>2025</v>
      </c>
      <c r="AA239" t="str">
        <f t="shared" si="13"/>
        <v>August</v>
      </c>
      <c r="AB239">
        <f t="shared" si="14"/>
        <v>8</v>
      </c>
      <c r="AC239" t="str">
        <f t="shared" si="15"/>
        <v>Q3</v>
      </c>
    </row>
    <row r="240" spans="1:29" x14ac:dyDescent="0.35">
      <c r="A240" t="s">
        <v>293</v>
      </c>
      <c r="B240" s="3">
        <v>45781</v>
      </c>
      <c r="C240" s="3">
        <v>45784</v>
      </c>
      <c r="D240" t="s">
        <v>38</v>
      </c>
      <c r="E240" t="s">
        <v>34</v>
      </c>
      <c r="F240" t="s">
        <v>44</v>
      </c>
      <c r="G240" t="s">
        <v>31</v>
      </c>
      <c r="H240" t="str" cm="1">
        <f t="array" ref="H240">_xlfn.IFS(
OR(G240="Abuja",G240="Fct",G240="Abj"),"Abuja Municipal",
G240="Lagos","Ikeja",
G240="Oyo","Ibadan",
G240="Kano","Kano Municipal",
G240="Enugu","Enugu North",
G240="Rivers","Port Harcourt"
)</f>
        <v>Kano Municipal</v>
      </c>
      <c r="I240" t="s">
        <v>5</v>
      </c>
      <c r="J240" t="s">
        <v>6</v>
      </c>
      <c r="K240" t="s">
        <v>7</v>
      </c>
      <c r="L240" t="s">
        <v>32</v>
      </c>
      <c r="M240" t="s">
        <v>18</v>
      </c>
      <c r="N240" t="s">
        <v>9</v>
      </c>
      <c r="O240">
        <v>1</v>
      </c>
      <c r="P240">
        <v>6500</v>
      </c>
      <c r="Q240">
        <v>6500</v>
      </c>
      <c r="R240">
        <v>0.2</v>
      </c>
      <c r="S240">
        <v>1300</v>
      </c>
      <c r="T240">
        <v>3000</v>
      </c>
      <c r="U240">
        <v>2200</v>
      </c>
      <c r="V240">
        <v>97.5</v>
      </c>
      <c r="W240">
        <v>5200</v>
      </c>
      <c r="X240">
        <v>3120</v>
      </c>
      <c r="Y240">
        <v>2782.5</v>
      </c>
      <c r="Z240">
        <f t="shared" si="12"/>
        <v>2025</v>
      </c>
      <c r="AA240" t="str">
        <f t="shared" si="13"/>
        <v>May</v>
      </c>
      <c r="AB240">
        <f t="shared" si="14"/>
        <v>5</v>
      </c>
      <c r="AC240" t="str">
        <f t="shared" si="15"/>
        <v>Q2</v>
      </c>
    </row>
    <row r="241" spans="1:29" x14ac:dyDescent="0.35">
      <c r="A241" t="s">
        <v>294</v>
      </c>
      <c r="B241" s="3">
        <v>45695</v>
      </c>
      <c r="C241" s="3">
        <v>45696</v>
      </c>
      <c r="D241" t="s">
        <v>38</v>
      </c>
      <c r="E241" t="s">
        <v>34</v>
      </c>
      <c r="F241" t="s">
        <v>13</v>
      </c>
      <c r="G241" t="s">
        <v>31</v>
      </c>
      <c r="H241" t="str" cm="1">
        <f t="array" ref="H241">_xlfn.IFS(
OR(G241="Abuja",G241="Fct",G241="Abj"),"Abuja Municipal",
G241="Lagos","Ikeja",
G241="Oyo","Ibadan",
G241="Kano","Kano Municipal",
G241="Enugu","Enugu North",
G241="Rivers","Port Harcourt"
)</f>
        <v>Kano Municipal</v>
      </c>
      <c r="I241" t="s">
        <v>56</v>
      </c>
      <c r="J241" t="s">
        <v>57</v>
      </c>
      <c r="K241" t="s">
        <v>17</v>
      </c>
      <c r="L241" t="s">
        <v>32</v>
      </c>
      <c r="M241" t="s">
        <v>24</v>
      </c>
      <c r="N241" t="s">
        <v>36</v>
      </c>
      <c r="O241">
        <v>5</v>
      </c>
      <c r="P241">
        <v>78000</v>
      </c>
      <c r="Q241">
        <v>390000</v>
      </c>
      <c r="R241">
        <v>0.1</v>
      </c>
      <c r="S241">
        <v>39000</v>
      </c>
      <c r="T241">
        <v>1500</v>
      </c>
      <c r="U241">
        <v>1800</v>
      </c>
      <c r="V241">
        <v>5850</v>
      </c>
      <c r="W241">
        <v>351000</v>
      </c>
      <c r="X241">
        <v>228150</v>
      </c>
      <c r="Y241">
        <v>116700</v>
      </c>
      <c r="Z241">
        <f t="shared" si="12"/>
        <v>2025</v>
      </c>
      <c r="AA241" t="str">
        <f t="shared" si="13"/>
        <v>February</v>
      </c>
      <c r="AB241">
        <f t="shared" si="14"/>
        <v>2</v>
      </c>
      <c r="AC241" t="str">
        <f t="shared" si="15"/>
        <v>Q1</v>
      </c>
    </row>
    <row r="242" spans="1:29" x14ac:dyDescent="0.35">
      <c r="A242" t="s">
        <v>295</v>
      </c>
      <c r="B242" s="3">
        <v>45985</v>
      </c>
      <c r="C242" s="3">
        <v>45986</v>
      </c>
      <c r="D242" t="s">
        <v>11</v>
      </c>
      <c r="E242" t="s">
        <v>55</v>
      </c>
      <c r="F242" t="s">
        <v>3</v>
      </c>
      <c r="G242" t="s">
        <v>4</v>
      </c>
      <c r="H242" t="str" cm="1">
        <f t="array" ref="H242">_xlfn.IFS(
OR(G242="Abuja",G242="Fct",G242="Abj"),"Abuja Municipal",
G242="Lagos","Ikeja",
G242="Oyo","Ibadan",
G242="Kano","Kano Municipal",
G242="Enugu","Enugu North",
G242="Rivers","Port Harcourt"
)</f>
        <v>Enugu North</v>
      </c>
      <c r="I242" t="s">
        <v>56</v>
      </c>
      <c r="J242" t="s">
        <v>57</v>
      </c>
      <c r="K242" t="s">
        <v>17</v>
      </c>
      <c r="L242" t="s">
        <v>28</v>
      </c>
      <c r="M242" t="s">
        <v>303</v>
      </c>
      <c r="N242" t="s">
        <v>9</v>
      </c>
      <c r="O242">
        <v>5</v>
      </c>
      <c r="P242">
        <v>120000</v>
      </c>
      <c r="Q242">
        <v>600000</v>
      </c>
      <c r="R242">
        <v>0.2</v>
      </c>
      <c r="S242">
        <v>120000</v>
      </c>
      <c r="T242">
        <v>3000</v>
      </c>
      <c r="U242">
        <v>3200</v>
      </c>
      <c r="V242">
        <v>9000</v>
      </c>
      <c r="W242">
        <v>480000</v>
      </c>
      <c r="X242">
        <v>336000</v>
      </c>
      <c r="Y242">
        <v>134800</v>
      </c>
      <c r="Z242">
        <f t="shared" si="12"/>
        <v>2025</v>
      </c>
      <c r="AA242" t="str">
        <f t="shared" si="13"/>
        <v>November</v>
      </c>
      <c r="AB242">
        <f t="shared" si="14"/>
        <v>11</v>
      </c>
      <c r="AC242" t="str">
        <f t="shared" si="15"/>
        <v>Q4</v>
      </c>
    </row>
    <row r="243" spans="1:29" x14ac:dyDescent="0.35">
      <c r="A243" t="s">
        <v>296</v>
      </c>
      <c r="B243" s="3">
        <v>45908</v>
      </c>
      <c r="C243" s="3">
        <v>45912</v>
      </c>
      <c r="D243" t="s">
        <v>20</v>
      </c>
      <c r="E243" t="s">
        <v>39</v>
      </c>
      <c r="F243" t="s">
        <v>13</v>
      </c>
      <c r="G243" t="s">
        <v>31</v>
      </c>
      <c r="H243" t="str" cm="1">
        <f t="array" ref="H243">_xlfn.IFS(
OR(G243="Abuja",G243="Fct",G243="Abj"),"Abuja Municipal",
G243="Lagos","Ikeja",
G243="Oyo","Ibadan",
G243="Kano","Kano Municipal",
G243="Enugu","Enugu North",
G243="Rivers","Port Harcourt"
)</f>
        <v>Kano Municipal</v>
      </c>
      <c r="I243" t="s">
        <v>49</v>
      </c>
      <c r="J243" t="s">
        <v>50</v>
      </c>
      <c r="K243" t="s">
        <v>42</v>
      </c>
      <c r="L243" t="s">
        <v>28</v>
      </c>
      <c r="M243" t="s">
        <v>303</v>
      </c>
      <c r="N243" t="s">
        <v>9</v>
      </c>
      <c r="O243">
        <v>1</v>
      </c>
      <c r="P243">
        <v>45000</v>
      </c>
      <c r="Q243">
        <v>45000</v>
      </c>
      <c r="R243">
        <v>0.15</v>
      </c>
      <c r="S243">
        <v>6750</v>
      </c>
      <c r="T243">
        <v>3500</v>
      </c>
      <c r="U243">
        <v>1800</v>
      </c>
      <c r="V243">
        <v>675</v>
      </c>
      <c r="W243">
        <v>38250</v>
      </c>
      <c r="X243">
        <v>21037.5</v>
      </c>
      <c r="Y243">
        <v>18237.5</v>
      </c>
      <c r="Z243">
        <f t="shared" si="12"/>
        <v>2025</v>
      </c>
      <c r="AA243" t="str">
        <f t="shared" si="13"/>
        <v>September</v>
      </c>
      <c r="AB243">
        <f t="shared" si="14"/>
        <v>9</v>
      </c>
      <c r="AC243" t="str">
        <f t="shared" si="15"/>
        <v>Q3</v>
      </c>
    </row>
    <row r="244" spans="1:29" x14ac:dyDescent="0.35">
      <c r="A244" t="s">
        <v>297</v>
      </c>
      <c r="B244" s="3">
        <v>45833</v>
      </c>
      <c r="C244" s="3">
        <v>45834</v>
      </c>
      <c r="D244" t="s">
        <v>62</v>
      </c>
      <c r="E244" t="s">
        <v>48</v>
      </c>
      <c r="F244" t="s">
        <v>3</v>
      </c>
      <c r="G244" t="s">
        <v>53</v>
      </c>
      <c r="H244" t="str" cm="1">
        <f t="array" ref="H244">_xlfn.IFS(
OR(G244="Abuja",G244="Fct",G244="Abj"),"Abuja Municipal",
G244="Lagos","Ikeja",
G244="Oyo","Ibadan",
G244="Kano","Kano Municipal",
G244="Enugu","Enugu North",
G244="Rivers","Port Harcourt"
)</f>
        <v>Ikeja</v>
      </c>
      <c r="I244" t="s">
        <v>5</v>
      </c>
      <c r="J244" t="s">
        <v>6</v>
      </c>
      <c r="K244" t="s">
        <v>7</v>
      </c>
      <c r="L244" t="s">
        <v>28</v>
      </c>
      <c r="M244" t="s">
        <v>18</v>
      </c>
      <c r="N244" t="s">
        <v>9</v>
      </c>
      <c r="O244">
        <v>3</v>
      </c>
      <c r="P244">
        <v>15000</v>
      </c>
      <c r="Q244">
        <v>45000</v>
      </c>
      <c r="R244">
        <v>0</v>
      </c>
      <c r="S244">
        <v>0</v>
      </c>
      <c r="T244">
        <v>3000</v>
      </c>
      <c r="U244">
        <v>1800</v>
      </c>
      <c r="V244">
        <v>675</v>
      </c>
      <c r="W244">
        <v>45000</v>
      </c>
      <c r="X244">
        <v>31500</v>
      </c>
      <c r="Y244">
        <v>14025</v>
      </c>
      <c r="Z244">
        <f t="shared" si="12"/>
        <v>2025</v>
      </c>
      <c r="AA244" t="str">
        <f t="shared" si="13"/>
        <v>June</v>
      </c>
      <c r="AB244">
        <f t="shared" si="14"/>
        <v>6</v>
      </c>
      <c r="AC244" t="str">
        <f t="shared" si="15"/>
        <v>Q2</v>
      </c>
    </row>
    <row r="245" spans="1:29" x14ac:dyDescent="0.35">
      <c r="A245" t="s">
        <v>298</v>
      </c>
      <c r="B245" s="3">
        <v>45747</v>
      </c>
      <c r="C245" s="3">
        <v>45753</v>
      </c>
      <c r="D245" t="s">
        <v>20</v>
      </c>
      <c r="E245" t="s">
        <v>34</v>
      </c>
      <c r="F245" t="s">
        <v>44</v>
      </c>
      <c r="G245" t="s">
        <v>27</v>
      </c>
      <c r="H245" t="str" cm="1">
        <f t="array" ref="H245">_xlfn.IFS(
OR(G245="Abuja",G245="Fct",G245="Abj"),"Abuja Municipal",
G245="Lagos","Ikeja",
G245="Oyo","Ibadan",
G245="Kano","Kano Municipal",
G245="Enugu","Enugu North",
G245="Rivers","Port Harcourt"
)</f>
        <v>Port Harcourt</v>
      </c>
      <c r="I245" t="s">
        <v>56</v>
      </c>
      <c r="J245" t="s">
        <v>57</v>
      </c>
      <c r="K245" t="s">
        <v>17</v>
      </c>
      <c r="L245" t="s">
        <v>8</v>
      </c>
      <c r="M245" t="s">
        <v>18</v>
      </c>
      <c r="N245" t="s">
        <v>9</v>
      </c>
      <c r="O245">
        <v>4</v>
      </c>
      <c r="P245">
        <v>78000</v>
      </c>
      <c r="Q245">
        <v>312000</v>
      </c>
      <c r="R245">
        <v>0.2</v>
      </c>
      <c r="S245">
        <v>62400</v>
      </c>
      <c r="T245">
        <v>2000</v>
      </c>
      <c r="U245">
        <v>1000</v>
      </c>
      <c r="V245">
        <v>4680</v>
      </c>
      <c r="W245">
        <v>249600</v>
      </c>
      <c r="X245">
        <v>174720</v>
      </c>
      <c r="Y245">
        <v>71200</v>
      </c>
      <c r="Z245">
        <f t="shared" si="12"/>
        <v>2025</v>
      </c>
      <c r="AA245" t="str">
        <f t="shared" si="13"/>
        <v>March</v>
      </c>
      <c r="AB245">
        <f t="shared" si="14"/>
        <v>3</v>
      </c>
      <c r="AC245" t="str">
        <f t="shared" si="15"/>
        <v>Q1</v>
      </c>
    </row>
    <row r="246" spans="1:29" x14ac:dyDescent="0.35">
      <c r="A246" t="s">
        <v>299</v>
      </c>
      <c r="B246" s="3">
        <v>45694</v>
      </c>
      <c r="C246" s="3">
        <v>45701</v>
      </c>
      <c r="D246" t="s">
        <v>71</v>
      </c>
      <c r="E246" t="s">
        <v>12</v>
      </c>
      <c r="F246" t="s">
        <v>44</v>
      </c>
      <c r="G246" t="s">
        <v>14</v>
      </c>
      <c r="H246" t="str" cm="1">
        <f t="array" ref="H246">_xlfn.IFS(
OR(G246="Abuja",G246="Fct",G246="Abj"),"Abuja Municipal",
G246="Lagos","Ikeja",
G246="Oyo","Ibadan",
G246="Kano","Kano Municipal",
G246="Enugu","Enugu North",
G246="Rivers","Port Harcourt"
)</f>
        <v>Ibadan</v>
      </c>
      <c r="I246" t="s">
        <v>86</v>
      </c>
      <c r="J246" t="s">
        <v>87</v>
      </c>
      <c r="K246" t="s">
        <v>23</v>
      </c>
      <c r="L246" t="s">
        <v>8</v>
      </c>
      <c r="M246" t="s">
        <v>303</v>
      </c>
      <c r="N246" t="s">
        <v>36</v>
      </c>
      <c r="O246">
        <v>2</v>
      </c>
      <c r="P246">
        <v>18500</v>
      </c>
      <c r="Q246">
        <v>37000</v>
      </c>
      <c r="R246">
        <v>0.2</v>
      </c>
      <c r="S246">
        <v>7400</v>
      </c>
      <c r="T246">
        <v>3000</v>
      </c>
      <c r="U246">
        <v>2200</v>
      </c>
      <c r="V246">
        <v>555</v>
      </c>
      <c r="W246">
        <v>29600</v>
      </c>
      <c r="X246">
        <v>16280</v>
      </c>
      <c r="Y246">
        <v>13565</v>
      </c>
      <c r="Z246">
        <f t="shared" si="12"/>
        <v>2025</v>
      </c>
      <c r="AA246" t="str">
        <f t="shared" si="13"/>
        <v>February</v>
      </c>
      <c r="AB246">
        <f t="shared" si="14"/>
        <v>2</v>
      </c>
      <c r="AC246" t="str">
        <f t="shared" si="15"/>
        <v>Q1</v>
      </c>
    </row>
    <row r="247" spans="1:29" x14ac:dyDescent="0.35">
      <c r="A247" t="s">
        <v>300</v>
      </c>
      <c r="B247" s="3">
        <v>45973</v>
      </c>
      <c r="C247" s="3">
        <v>45979</v>
      </c>
      <c r="D247" t="s">
        <v>20</v>
      </c>
      <c r="E247" t="s">
        <v>12</v>
      </c>
      <c r="F247" t="s">
        <v>44</v>
      </c>
      <c r="G247" t="s">
        <v>31</v>
      </c>
      <c r="H247" t="str" cm="1">
        <f t="array" ref="H247">_xlfn.IFS(
OR(G247="Abuja",G247="Fct",G247="Abj"),"Abuja Municipal",
G247="Lagos","Ikeja",
G247="Oyo","Ibadan",
G247="Kano","Kano Municipal",
G247="Enugu","Enugu North",
G247="Rivers","Port Harcourt"
)</f>
        <v>Kano Municipal</v>
      </c>
      <c r="I247" t="s">
        <v>5</v>
      </c>
      <c r="J247" t="s">
        <v>6</v>
      </c>
      <c r="K247" t="s">
        <v>7</v>
      </c>
      <c r="L247" t="s">
        <v>28</v>
      </c>
      <c r="M247" t="s">
        <v>303</v>
      </c>
      <c r="N247" t="s">
        <v>9</v>
      </c>
      <c r="O247">
        <v>5</v>
      </c>
      <c r="P247">
        <v>45000</v>
      </c>
      <c r="Q247">
        <v>225000</v>
      </c>
      <c r="R247">
        <v>0</v>
      </c>
      <c r="S247">
        <v>0</v>
      </c>
      <c r="T247">
        <v>2500</v>
      </c>
      <c r="U247">
        <v>2800</v>
      </c>
      <c r="V247">
        <v>3375</v>
      </c>
      <c r="W247">
        <v>225000</v>
      </c>
      <c r="X247">
        <v>123750</v>
      </c>
      <c r="Y247">
        <v>97575</v>
      </c>
      <c r="Z247">
        <f t="shared" si="12"/>
        <v>2025</v>
      </c>
      <c r="AA247" t="str">
        <f t="shared" si="13"/>
        <v>November</v>
      </c>
      <c r="AB247">
        <f t="shared" si="14"/>
        <v>11</v>
      </c>
      <c r="AC247" t="str">
        <f t="shared" si="15"/>
        <v>Q4</v>
      </c>
    </row>
    <row r="248" spans="1:29" x14ac:dyDescent="0.35">
      <c r="A248" t="s">
        <v>301</v>
      </c>
      <c r="B248" s="3">
        <v>45833</v>
      </c>
      <c r="C248" s="3">
        <v>45839</v>
      </c>
      <c r="D248" t="s">
        <v>11</v>
      </c>
      <c r="E248" t="s">
        <v>34</v>
      </c>
      <c r="F248" t="s">
        <v>44</v>
      </c>
      <c r="G248" t="s">
        <v>4</v>
      </c>
      <c r="H248" t="str" cm="1">
        <f t="array" ref="H248">_xlfn.IFS(
OR(G248="Abuja",G248="Fct",G248="Abj"),"Abuja Municipal",
G248="Lagos","Ikeja",
G248="Oyo","Ibadan",
G248="Kano","Kano Municipal",
G248="Enugu","Enugu North",
G248="Rivers","Port Harcourt"
)</f>
        <v>Enugu North</v>
      </c>
      <c r="I248" t="s">
        <v>86</v>
      </c>
      <c r="J248" t="s">
        <v>87</v>
      </c>
      <c r="K248" t="s">
        <v>23</v>
      </c>
      <c r="L248" t="s">
        <v>32</v>
      </c>
      <c r="M248" t="s">
        <v>18</v>
      </c>
      <c r="N248" t="s">
        <v>9</v>
      </c>
      <c r="O248">
        <v>4</v>
      </c>
      <c r="P248">
        <v>32000</v>
      </c>
      <c r="Q248">
        <v>128000</v>
      </c>
      <c r="R248">
        <v>0.1</v>
      </c>
      <c r="S248">
        <v>12800</v>
      </c>
      <c r="T248">
        <v>3000</v>
      </c>
      <c r="U248">
        <v>1500</v>
      </c>
      <c r="V248">
        <v>1920</v>
      </c>
      <c r="W248">
        <v>115200</v>
      </c>
      <c r="X248">
        <v>63360</v>
      </c>
      <c r="Y248">
        <v>51420</v>
      </c>
      <c r="Z248">
        <f t="shared" si="12"/>
        <v>2025</v>
      </c>
      <c r="AA248" t="str">
        <f t="shared" si="13"/>
        <v>June</v>
      </c>
      <c r="AB248">
        <f t="shared" si="14"/>
        <v>6</v>
      </c>
      <c r="AC248" t="str">
        <f t="shared" si="15"/>
        <v>Q2</v>
      </c>
    </row>
    <row r="249" spans="1:29" x14ac:dyDescent="0.35">
      <c r="A249" t="s">
        <v>302</v>
      </c>
      <c r="B249" s="3">
        <v>45941</v>
      </c>
      <c r="C249" s="3">
        <v>45945</v>
      </c>
      <c r="D249" t="s">
        <v>71</v>
      </c>
      <c r="E249" t="s">
        <v>30</v>
      </c>
      <c r="F249" t="s">
        <v>13</v>
      </c>
      <c r="G249" t="s">
        <v>53</v>
      </c>
      <c r="H249" t="str" cm="1">
        <f t="array" ref="H249">_xlfn.IFS(
OR(G249="Abuja",G249="Fct",G249="Abj"),"Abuja Municipal",
G249="Lagos","Ikeja",
G249="Oyo","Ibadan",
G249="Kano","Kano Municipal",
G249="Enugu","Enugu North",
G249="Rivers","Port Harcourt"
)</f>
        <v>Ikeja</v>
      </c>
      <c r="I249" t="s">
        <v>56</v>
      </c>
      <c r="J249" t="s">
        <v>57</v>
      </c>
      <c r="K249" t="s">
        <v>17</v>
      </c>
      <c r="L249" t="s">
        <v>32</v>
      </c>
      <c r="M249" t="s">
        <v>24</v>
      </c>
      <c r="N249" t="s">
        <v>9</v>
      </c>
      <c r="O249">
        <v>3</v>
      </c>
      <c r="P249">
        <v>18500</v>
      </c>
      <c r="Q249">
        <v>55500</v>
      </c>
      <c r="R249">
        <v>0</v>
      </c>
      <c r="S249">
        <v>0</v>
      </c>
      <c r="T249">
        <v>2000</v>
      </c>
      <c r="U249">
        <v>1500</v>
      </c>
      <c r="V249">
        <v>832.5</v>
      </c>
      <c r="W249">
        <v>55500</v>
      </c>
      <c r="X249">
        <v>33300</v>
      </c>
      <c r="Y249">
        <v>21867.5</v>
      </c>
      <c r="Z249">
        <f t="shared" si="12"/>
        <v>2025</v>
      </c>
      <c r="AA249" t="str">
        <f t="shared" si="13"/>
        <v>October</v>
      </c>
      <c r="AB249">
        <f t="shared" si="14"/>
        <v>10</v>
      </c>
      <c r="AC249" t="str">
        <f t="shared" si="15"/>
        <v>Q4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Osinachi Esinulo</dc:creator>
  <cp:lastModifiedBy>Osinachi Esinulo</cp:lastModifiedBy>
  <dcterms:created xsi:type="dcterms:W3CDTF">2026-05-13T14:31:45Z</dcterms:created>
  <dcterms:modified xsi:type="dcterms:W3CDTF">2026-05-18T20:45:39Z</dcterms:modified>
</cp:coreProperties>
</file>